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larensltd-my.sharepoint.com/personal/vihangak_mclarens_lk/Documents/Desktop/CP/"/>
    </mc:Choice>
  </mc:AlternateContent>
  <xr:revisionPtr revIDLastSave="1" documentId="13_ncr:1_{B9475835-D1FF-45E7-861A-DA3B8DBC0DB0}" xr6:coauthVersionLast="47" xr6:coauthVersionMax="47" xr10:uidLastSave="{9783030A-D5AC-4614-9FD2-1E48A92CDBB6}"/>
  <bookViews>
    <workbookView xWindow="-108" yWindow="-108" windowWidth="23256" windowHeight="12456" xr2:uid="{1B4B1ECF-2D27-4FB0-A3D0-0FF05C9F4E4A}"/>
  </bookViews>
  <sheets>
    <sheet name=" May 2025" sheetId="4" r:id="rId1"/>
  </sheets>
  <definedNames>
    <definedName name="_xlnm._FilterDatabase" localSheetId="0" hidden="1">' May 2025'!$A$3:$BF$75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61" i="4" l="1"/>
  <c r="AS61" i="4"/>
  <c r="AM61" i="4"/>
  <c r="AJ61" i="4"/>
  <c r="AF61" i="4"/>
  <c r="AO61" i="4" s="1"/>
  <c r="AE61" i="4"/>
  <c r="AN61" i="4" s="1"/>
  <c r="AD61" i="4"/>
  <c r="AA61" i="4"/>
  <c r="X61" i="4"/>
  <c r="U61" i="4"/>
  <c r="R61" i="4"/>
  <c r="O61" i="4"/>
  <c r="L61" i="4"/>
  <c r="I61" i="4"/>
  <c r="E61" i="4"/>
  <c r="D61" i="4"/>
  <c r="F61" i="4" s="1"/>
  <c r="AZ61" i="4" l="1"/>
  <c r="AW61" i="4"/>
  <c r="AY61" i="4" s="1"/>
  <c r="AP61" i="4"/>
  <c r="BA61" i="4"/>
  <c r="BD61" i="4" s="1"/>
  <c r="AX61" i="4"/>
  <c r="AG61" i="4"/>
  <c r="BC61" i="4" l="1"/>
  <c r="BE61" i="4" s="1"/>
  <c r="BB61" i="4"/>
  <c r="AB5" i="4" l="1"/>
  <c r="E26" i="4" l="1"/>
  <c r="AU74" i="4" l="1"/>
  <c r="AT74" i="4"/>
  <c r="AR74" i="4"/>
  <c r="AQ74" i="4"/>
  <c r="AL74" i="4"/>
  <c r="AK74" i="4"/>
  <c r="AM74" i="4" s="1"/>
  <c r="AI74" i="4"/>
  <c r="AH74" i="4"/>
  <c r="AJ74" i="4" s="1"/>
  <c r="AC74" i="4"/>
  <c r="AB74" i="4"/>
  <c r="Z74" i="4"/>
  <c r="Y74" i="4"/>
  <c r="W74" i="4"/>
  <c r="V74" i="4"/>
  <c r="T74" i="4"/>
  <c r="S74" i="4"/>
  <c r="U74" i="4" s="1"/>
  <c r="Q74" i="4"/>
  <c r="P74" i="4"/>
  <c r="R74" i="4" s="1"/>
  <c r="N74" i="4"/>
  <c r="M74" i="4"/>
  <c r="O74" i="4" s="1"/>
  <c r="K74" i="4"/>
  <c r="J74" i="4"/>
  <c r="H74" i="4"/>
  <c r="G74" i="4"/>
  <c r="I74" i="4" s="1"/>
  <c r="X74" i="4" l="1"/>
  <c r="AS74" i="4"/>
  <c r="L74" i="4"/>
  <c r="AD74" i="4"/>
  <c r="AA74" i="4"/>
  <c r="AV74" i="4"/>
  <c r="AU66" i="4" l="1"/>
  <c r="AT66" i="4"/>
  <c r="AV66" i="4" s="1"/>
  <c r="AR66" i="4"/>
  <c r="AQ66" i="4"/>
  <c r="AL66" i="4"/>
  <c r="AK66" i="4"/>
  <c r="AI66" i="4"/>
  <c r="AH66" i="4"/>
  <c r="AJ66" i="4" s="1"/>
  <c r="AC66" i="4"/>
  <c r="AB66" i="4"/>
  <c r="Z66" i="4"/>
  <c r="Y66" i="4"/>
  <c r="W66" i="4"/>
  <c r="V66" i="4"/>
  <c r="X66" i="4" s="1"/>
  <c r="T66" i="4"/>
  <c r="S66" i="4"/>
  <c r="Q66" i="4"/>
  <c r="P66" i="4"/>
  <c r="R66" i="4" s="1"/>
  <c r="N66" i="4"/>
  <c r="M66" i="4"/>
  <c r="K66" i="4"/>
  <c r="J66" i="4"/>
  <c r="H66" i="4"/>
  <c r="G66" i="4"/>
  <c r="AS66" i="4" l="1"/>
  <c r="AM66" i="4"/>
  <c r="O66" i="4"/>
  <c r="U66" i="4"/>
  <c r="L66" i="4"/>
  <c r="I66" i="4"/>
  <c r="AA66" i="4"/>
  <c r="AD66" i="4"/>
  <c r="AU60" i="4"/>
  <c r="AT60" i="4"/>
  <c r="AR60" i="4"/>
  <c r="AQ60" i="4"/>
  <c r="AL60" i="4"/>
  <c r="AK60" i="4"/>
  <c r="AM60" i="4" s="1"/>
  <c r="AI60" i="4"/>
  <c r="AH60" i="4"/>
  <c r="AC60" i="4"/>
  <c r="AB60" i="4"/>
  <c r="AD60" i="4" s="1"/>
  <c r="Z60" i="4"/>
  <c r="Y60" i="4"/>
  <c r="W60" i="4"/>
  <c r="V60" i="4"/>
  <c r="T60" i="4"/>
  <c r="S60" i="4"/>
  <c r="U60" i="4" s="1"/>
  <c r="Q60" i="4"/>
  <c r="P60" i="4"/>
  <c r="R60" i="4" s="1"/>
  <c r="N60" i="4"/>
  <c r="M60" i="4"/>
  <c r="K60" i="4"/>
  <c r="J60" i="4"/>
  <c r="H60" i="4"/>
  <c r="G60" i="4"/>
  <c r="AS60" i="4" l="1"/>
  <c r="I60" i="4"/>
  <c r="X60" i="4"/>
  <c r="AV60" i="4"/>
  <c r="L60" i="4"/>
  <c r="O60" i="4"/>
  <c r="AA60" i="4"/>
  <c r="AJ60" i="4"/>
  <c r="AU55" i="4"/>
  <c r="AT55" i="4"/>
  <c r="AR55" i="4"/>
  <c r="AQ55" i="4"/>
  <c r="AL55" i="4"/>
  <c r="AK55" i="4"/>
  <c r="AI55" i="4"/>
  <c r="AH55" i="4"/>
  <c r="AJ55" i="4" s="1"/>
  <c r="AC55" i="4"/>
  <c r="AB55" i="4"/>
  <c r="Z55" i="4"/>
  <c r="Y55" i="4"/>
  <c r="W55" i="4"/>
  <c r="V55" i="4"/>
  <c r="X55" i="4" s="1"/>
  <c r="T55" i="4"/>
  <c r="S55" i="4"/>
  <c r="Q55" i="4"/>
  <c r="P55" i="4"/>
  <c r="R55" i="4" s="1"/>
  <c r="N55" i="4"/>
  <c r="M55" i="4"/>
  <c r="K55" i="4"/>
  <c r="J55" i="4"/>
  <c r="H55" i="4"/>
  <c r="G55" i="4"/>
  <c r="AS55" i="4" l="1"/>
  <c r="I55" i="4"/>
  <c r="AA55" i="4"/>
  <c r="L55" i="4"/>
  <c r="AD55" i="4"/>
  <c r="U55" i="4"/>
  <c r="AM55" i="4"/>
  <c r="O55" i="4"/>
  <c r="AV55" i="4"/>
  <c r="AB52" i="4"/>
  <c r="AC52" i="4"/>
  <c r="V52" i="4"/>
  <c r="W52" i="4"/>
  <c r="T52" i="4"/>
  <c r="S52" i="4"/>
  <c r="P52" i="4"/>
  <c r="Q52" i="4"/>
  <c r="N52" i="4"/>
  <c r="M52" i="4"/>
  <c r="AU52" i="4"/>
  <c r="AT52" i="4"/>
  <c r="AV52" i="4" s="1"/>
  <c r="AR52" i="4"/>
  <c r="AQ52" i="4"/>
  <c r="AS52" i="4" s="1"/>
  <c r="AL52" i="4"/>
  <c r="AK52" i="4"/>
  <c r="AI52" i="4"/>
  <c r="AH52" i="4"/>
  <c r="Z52" i="4"/>
  <c r="Y52" i="4"/>
  <c r="K52" i="4"/>
  <c r="H52" i="4"/>
  <c r="G52" i="4"/>
  <c r="I52" i="4" l="1"/>
  <c r="AA52" i="4"/>
  <c r="AJ52" i="4"/>
  <c r="AM52" i="4"/>
  <c r="AD52" i="4"/>
  <c r="X52" i="4"/>
  <c r="U52" i="4"/>
  <c r="R52" i="4"/>
  <c r="O52" i="4"/>
  <c r="J52" i="4"/>
  <c r="L52" i="4" l="1"/>
  <c r="AU43" i="4"/>
  <c r="AT43" i="4"/>
  <c r="AR43" i="4"/>
  <c r="AQ43" i="4"/>
  <c r="AL43" i="4"/>
  <c r="AK43" i="4"/>
  <c r="AI43" i="4"/>
  <c r="AH43" i="4"/>
  <c r="AJ43" i="4" s="1"/>
  <c r="AC43" i="4"/>
  <c r="AB43" i="4"/>
  <c r="Z43" i="4"/>
  <c r="Y43" i="4"/>
  <c r="W43" i="4"/>
  <c r="V43" i="4"/>
  <c r="T43" i="4"/>
  <c r="S43" i="4"/>
  <c r="Q43" i="4"/>
  <c r="P43" i="4"/>
  <c r="N43" i="4"/>
  <c r="M43" i="4"/>
  <c r="K43" i="4"/>
  <c r="J43" i="4"/>
  <c r="H43" i="4"/>
  <c r="G43" i="4"/>
  <c r="I43" i="4" s="1"/>
  <c r="L42" i="4"/>
  <c r="I42" i="4"/>
  <c r="AD43" i="4" l="1"/>
  <c r="AV43" i="4"/>
  <c r="L43" i="4"/>
  <c r="X43" i="4"/>
  <c r="AM43" i="4"/>
  <c r="O43" i="4"/>
  <c r="AA43" i="4"/>
  <c r="AS43" i="4"/>
  <c r="R43" i="4"/>
  <c r="U43" i="4"/>
  <c r="AU41" i="4" l="1"/>
  <c r="AT41" i="4"/>
  <c r="AR41" i="4"/>
  <c r="AQ41" i="4"/>
  <c r="AL41" i="4"/>
  <c r="AK41" i="4"/>
  <c r="AI41" i="4"/>
  <c r="AH41" i="4"/>
  <c r="AC41" i="4"/>
  <c r="AB41" i="4"/>
  <c r="Z41" i="4"/>
  <c r="Y41" i="4"/>
  <c r="W41" i="4"/>
  <c r="V41" i="4"/>
  <c r="T41" i="4"/>
  <c r="S41" i="4"/>
  <c r="Q41" i="4"/>
  <c r="P41" i="4"/>
  <c r="R41" i="4" s="1"/>
  <c r="N41" i="4"/>
  <c r="M41" i="4"/>
  <c r="K41" i="4"/>
  <c r="J41" i="4"/>
  <c r="H41" i="4"/>
  <c r="G41" i="4"/>
  <c r="AV41" i="4" l="1"/>
  <c r="AD41" i="4"/>
  <c r="AA41" i="4"/>
  <c r="AS41" i="4"/>
  <c r="O41" i="4"/>
  <c r="I41" i="4"/>
  <c r="U41" i="4"/>
  <c r="AJ41" i="4"/>
  <c r="L41" i="4"/>
  <c r="X41" i="4"/>
  <c r="AM41" i="4"/>
  <c r="AU34" i="4"/>
  <c r="AR34" i="4"/>
  <c r="AQ34" i="4"/>
  <c r="AL34" i="4"/>
  <c r="AI34" i="4"/>
  <c r="AC34" i="4"/>
  <c r="Z34" i="4"/>
  <c r="W34" i="4"/>
  <c r="T34" i="4"/>
  <c r="Q34" i="4"/>
  <c r="N34" i="4"/>
  <c r="K34" i="4"/>
  <c r="H34" i="4"/>
  <c r="G34" i="4"/>
  <c r="AT34" i="4" l="1"/>
  <c r="AK34" i="4"/>
  <c r="AH34" i="4"/>
  <c r="AB34" i="4"/>
  <c r="Y34" i="4"/>
  <c r="V34" i="4"/>
  <c r="S34" i="4"/>
  <c r="P34" i="4"/>
  <c r="M34" i="4"/>
  <c r="J34" i="4"/>
  <c r="AU31" i="4"/>
  <c r="AT31" i="4"/>
  <c r="AR31" i="4"/>
  <c r="AQ31" i="4"/>
  <c r="AL31" i="4"/>
  <c r="AK31" i="4"/>
  <c r="AI31" i="4"/>
  <c r="AH31" i="4"/>
  <c r="AC31" i="4"/>
  <c r="AB31" i="4"/>
  <c r="Z31" i="4"/>
  <c r="Y31" i="4"/>
  <c r="W31" i="4"/>
  <c r="V31" i="4"/>
  <c r="T31" i="4"/>
  <c r="S31" i="4"/>
  <c r="Q31" i="4"/>
  <c r="P31" i="4"/>
  <c r="N31" i="4"/>
  <c r="M31" i="4"/>
  <c r="K31" i="4"/>
  <c r="J31" i="4"/>
  <c r="H31" i="4"/>
  <c r="G31" i="4"/>
  <c r="AJ34" i="4" l="1"/>
  <c r="AS34" i="4"/>
  <c r="AM34" i="4"/>
  <c r="AV34" i="4"/>
  <c r="L34" i="4"/>
  <c r="I34" i="4"/>
  <c r="O34" i="4"/>
  <c r="R34" i="4"/>
  <c r="U34" i="4"/>
  <c r="X34" i="4"/>
  <c r="AD34" i="4"/>
  <c r="AA34" i="4"/>
  <c r="AU25" i="4"/>
  <c r="AT25" i="4"/>
  <c r="AV25" i="4" s="1"/>
  <c r="AR25" i="4"/>
  <c r="AQ25" i="4"/>
  <c r="AS25" i="4" s="1"/>
  <c r="AL25" i="4"/>
  <c r="AK25" i="4"/>
  <c r="AI25" i="4"/>
  <c r="AH25" i="4"/>
  <c r="AC25" i="4"/>
  <c r="AB25" i="4"/>
  <c r="Z25" i="4"/>
  <c r="Y25" i="4"/>
  <c r="AA25" i="4" s="1"/>
  <c r="W25" i="4"/>
  <c r="V25" i="4"/>
  <c r="X25" i="4" s="1"/>
  <c r="T25" i="4"/>
  <c r="S25" i="4"/>
  <c r="Q25" i="4"/>
  <c r="P25" i="4"/>
  <c r="R25" i="4" s="1"/>
  <c r="N25" i="4"/>
  <c r="M25" i="4"/>
  <c r="O25" i="4" s="1"/>
  <c r="K25" i="4"/>
  <c r="J25" i="4"/>
  <c r="H25" i="4"/>
  <c r="G25" i="4"/>
  <c r="L25" i="4" l="1"/>
  <c r="AD25" i="4"/>
  <c r="I25" i="4"/>
  <c r="U25" i="4"/>
  <c r="AJ25" i="4"/>
  <c r="AM25" i="4"/>
  <c r="AC18" i="4"/>
  <c r="AB18" i="4"/>
  <c r="Z18" i="4"/>
  <c r="W18" i="4"/>
  <c r="V18" i="4"/>
  <c r="S18" i="4"/>
  <c r="T18" i="4"/>
  <c r="P18" i="4"/>
  <c r="Q18" i="4"/>
  <c r="J18" i="4"/>
  <c r="G18" i="4"/>
  <c r="AU18" i="4"/>
  <c r="AT18" i="4"/>
  <c r="AV18" i="4" s="1"/>
  <c r="AR18" i="4"/>
  <c r="AQ18" i="4"/>
  <c r="AS18" i="4" s="1"/>
  <c r="AL18" i="4"/>
  <c r="AK18" i="4"/>
  <c r="AI18" i="4"/>
  <c r="AH18" i="4"/>
  <c r="AJ18" i="4" s="1"/>
  <c r="H18" i="4"/>
  <c r="X18" i="4" l="1"/>
  <c r="AM18" i="4"/>
  <c r="I18" i="4"/>
  <c r="AD18" i="4"/>
  <c r="Y18" i="4"/>
  <c r="AA18" i="4" s="1"/>
  <c r="U18" i="4"/>
  <c r="R18" i="4"/>
  <c r="M18" i="4"/>
  <c r="N18" i="4"/>
  <c r="K18" i="4"/>
  <c r="L18" i="4" l="1"/>
  <c r="O18" i="4"/>
  <c r="AU8" i="4"/>
  <c r="AU75" i="4" s="1"/>
  <c r="AT8" i="4"/>
  <c r="AR8" i="4"/>
  <c r="AR75" i="4" s="1"/>
  <c r="AQ8" i="4"/>
  <c r="AL8" i="4"/>
  <c r="AL75" i="4" s="1"/>
  <c r="AK8" i="4"/>
  <c r="AI8" i="4"/>
  <c r="AI75" i="4" s="1"/>
  <c r="AH8" i="4"/>
  <c r="AH75" i="4" s="1"/>
  <c r="AC8" i="4"/>
  <c r="AC75" i="4" s="1"/>
  <c r="AB8" i="4"/>
  <c r="Z8" i="4"/>
  <c r="Z75" i="4" s="1"/>
  <c r="Y8" i="4"/>
  <c r="W8" i="4"/>
  <c r="W75" i="4" s="1"/>
  <c r="V8" i="4"/>
  <c r="T8" i="4"/>
  <c r="T75" i="4" s="1"/>
  <c r="S8" i="4"/>
  <c r="S75" i="4" s="1"/>
  <c r="Q8" i="4"/>
  <c r="Q75" i="4" s="1"/>
  <c r="P8" i="4"/>
  <c r="N8" i="4"/>
  <c r="N75" i="4" s="1"/>
  <c r="M8" i="4"/>
  <c r="K8" i="4"/>
  <c r="J8" i="4"/>
  <c r="H8" i="4"/>
  <c r="H75" i="4" s="1"/>
  <c r="G8" i="4"/>
  <c r="G75" i="4" s="1"/>
  <c r="U75" i="4" l="1"/>
  <c r="K75" i="4"/>
  <c r="AD8" i="4"/>
  <c r="AB75" i="4"/>
  <c r="AD75" i="4" s="1"/>
  <c r="AJ75" i="4"/>
  <c r="AS8" i="4"/>
  <c r="AQ75" i="4"/>
  <c r="AS75" i="4" s="1"/>
  <c r="X8" i="4"/>
  <c r="V75" i="4"/>
  <c r="X75" i="4" s="1"/>
  <c r="AV8" i="4"/>
  <c r="AT75" i="4"/>
  <c r="AV75" i="4" s="1"/>
  <c r="O8" i="4"/>
  <c r="M75" i="4"/>
  <c r="O75" i="4" s="1"/>
  <c r="R8" i="4"/>
  <c r="P75" i="4"/>
  <c r="R75" i="4" s="1"/>
  <c r="L8" i="4"/>
  <c r="J75" i="4"/>
  <c r="AM8" i="4"/>
  <c r="AK75" i="4"/>
  <c r="AM75" i="4" s="1"/>
  <c r="I75" i="4"/>
  <c r="AA8" i="4"/>
  <c r="Y75" i="4"/>
  <c r="AA75" i="4" s="1"/>
  <c r="I8" i="4"/>
  <c r="U8" i="4"/>
  <c r="AJ8" i="4"/>
  <c r="AE6" i="4"/>
  <c r="AF6" i="4"/>
  <c r="AO6" i="4" s="1"/>
  <c r="AE7" i="4"/>
  <c r="AN7" i="4" s="1"/>
  <c r="AZ7" i="4" s="1"/>
  <c r="BC7" i="4" s="1"/>
  <c r="AF7" i="4"/>
  <c r="AO7" i="4" s="1"/>
  <c r="AE9" i="4"/>
  <c r="AN9" i="4" s="1"/>
  <c r="AF9" i="4"/>
  <c r="AE10" i="4"/>
  <c r="AN10" i="4" s="1"/>
  <c r="AZ10" i="4" s="1"/>
  <c r="BC10" i="4" s="1"/>
  <c r="AF10" i="4"/>
  <c r="AO10" i="4" s="1"/>
  <c r="AE11" i="4"/>
  <c r="AN11" i="4" s="1"/>
  <c r="AF11" i="4"/>
  <c r="AO11" i="4" s="1"/>
  <c r="BA11" i="4" s="1"/>
  <c r="BD11" i="4" s="1"/>
  <c r="AE12" i="4"/>
  <c r="AN12" i="4" s="1"/>
  <c r="AF12" i="4"/>
  <c r="AO12" i="4" s="1"/>
  <c r="BA12" i="4" s="1"/>
  <c r="BD12" i="4" s="1"/>
  <c r="AE13" i="4"/>
  <c r="AN13" i="4" s="1"/>
  <c r="AF13" i="4"/>
  <c r="AO13" i="4" s="1"/>
  <c r="BA13" i="4" s="1"/>
  <c r="BD13" i="4" s="1"/>
  <c r="AE14" i="4"/>
  <c r="AF14" i="4"/>
  <c r="AO14" i="4" s="1"/>
  <c r="AE15" i="4"/>
  <c r="AF15" i="4"/>
  <c r="AO15" i="4" s="1"/>
  <c r="AX15" i="4" s="1"/>
  <c r="AE16" i="4"/>
  <c r="AN16" i="4" s="1"/>
  <c r="AZ16" i="4" s="1"/>
  <c r="AF16" i="4"/>
  <c r="AO16" i="4" s="1"/>
  <c r="AE17" i="4"/>
  <c r="AN17" i="4" s="1"/>
  <c r="AZ17" i="4" s="1"/>
  <c r="AF17" i="4"/>
  <c r="AO17" i="4" s="1"/>
  <c r="BA17" i="4" s="1"/>
  <c r="BD17" i="4" s="1"/>
  <c r="AE19" i="4"/>
  <c r="AN19" i="4" s="1"/>
  <c r="AF19" i="4"/>
  <c r="AO19" i="4" s="1"/>
  <c r="AX19" i="4" s="1"/>
  <c r="AE20" i="4"/>
  <c r="AF20" i="4"/>
  <c r="AO20" i="4" s="1"/>
  <c r="AE21" i="4"/>
  <c r="AN21" i="4" s="1"/>
  <c r="AZ21" i="4" s="1"/>
  <c r="AF21" i="4"/>
  <c r="AO21" i="4" s="1"/>
  <c r="BA21" i="4" s="1"/>
  <c r="BD21" i="4" s="1"/>
  <c r="AE22" i="4"/>
  <c r="AN22" i="4" s="1"/>
  <c r="AZ22" i="4" s="1"/>
  <c r="BC22" i="4" s="1"/>
  <c r="AF22" i="4"/>
  <c r="AO22" i="4" s="1"/>
  <c r="AE23" i="4"/>
  <c r="AF23" i="4"/>
  <c r="AO23" i="4" s="1"/>
  <c r="AX23" i="4" s="1"/>
  <c r="AE24" i="4"/>
  <c r="AN24" i="4" s="1"/>
  <c r="AW24" i="4" s="1"/>
  <c r="AF24" i="4"/>
  <c r="AO24" i="4" s="1"/>
  <c r="BA24" i="4" s="1"/>
  <c r="BD24" i="4" s="1"/>
  <c r="AE26" i="4"/>
  <c r="AF26" i="4"/>
  <c r="AE27" i="4"/>
  <c r="AN27" i="4" s="1"/>
  <c r="AZ27" i="4" s="1"/>
  <c r="AF27" i="4"/>
  <c r="AO27" i="4" s="1"/>
  <c r="AE28" i="4"/>
  <c r="AN28" i="4" s="1"/>
  <c r="AZ28" i="4" s="1"/>
  <c r="AF28" i="4"/>
  <c r="AE29" i="4"/>
  <c r="AF29" i="4"/>
  <c r="AO29" i="4" s="1"/>
  <c r="BA29" i="4" s="1"/>
  <c r="BD29" i="4" s="1"/>
  <c r="AE30" i="4"/>
  <c r="AF30" i="4"/>
  <c r="AO30" i="4" s="1"/>
  <c r="AE32" i="4"/>
  <c r="AF32" i="4"/>
  <c r="AO32" i="4" s="1"/>
  <c r="AE33" i="4"/>
  <c r="AF33" i="4"/>
  <c r="AO33" i="4" s="1"/>
  <c r="AE35" i="4"/>
  <c r="AF35" i="4"/>
  <c r="AE36" i="4"/>
  <c r="AN36" i="4" s="1"/>
  <c r="AZ36" i="4" s="1"/>
  <c r="AF36" i="4"/>
  <c r="AO36" i="4" s="1"/>
  <c r="BA36" i="4" s="1"/>
  <c r="BD36" i="4" s="1"/>
  <c r="AE37" i="4"/>
  <c r="AF37" i="4"/>
  <c r="AO37" i="4" s="1"/>
  <c r="BA37" i="4" s="1"/>
  <c r="BD37" i="4" s="1"/>
  <c r="AE38" i="4"/>
  <c r="AF38" i="4"/>
  <c r="AO38" i="4" s="1"/>
  <c r="AX38" i="4" s="1"/>
  <c r="AE39" i="4"/>
  <c r="AF39" i="4"/>
  <c r="AO39" i="4" s="1"/>
  <c r="AE40" i="4"/>
  <c r="AN40" i="4" s="1"/>
  <c r="AZ40" i="4" s="1"/>
  <c r="AF40" i="4"/>
  <c r="AE42" i="4"/>
  <c r="AF42" i="4"/>
  <c r="AE44" i="4"/>
  <c r="AF44" i="4"/>
  <c r="AE45" i="4"/>
  <c r="AF45" i="4"/>
  <c r="AO45" i="4" s="1"/>
  <c r="AE46" i="4"/>
  <c r="AF46" i="4"/>
  <c r="AO46" i="4" s="1"/>
  <c r="BA46" i="4" s="1"/>
  <c r="BD46" i="4" s="1"/>
  <c r="AE47" i="4"/>
  <c r="AF47" i="4"/>
  <c r="AO47" i="4" s="1"/>
  <c r="AE48" i="4"/>
  <c r="AN48" i="4" s="1"/>
  <c r="AF48" i="4"/>
  <c r="AO48" i="4" s="1"/>
  <c r="AX48" i="4" s="1"/>
  <c r="AE49" i="4"/>
  <c r="AN49" i="4" s="1"/>
  <c r="AZ49" i="4" s="1"/>
  <c r="AF49" i="4"/>
  <c r="AO49" i="4" s="1"/>
  <c r="AE50" i="4"/>
  <c r="AF50" i="4"/>
  <c r="AO50" i="4" s="1"/>
  <c r="BA50" i="4" s="1"/>
  <c r="BD50" i="4" s="1"/>
  <c r="AE51" i="4"/>
  <c r="AN51" i="4" s="1"/>
  <c r="AF51" i="4"/>
  <c r="AO51" i="4" s="1"/>
  <c r="AE53" i="4"/>
  <c r="AF53" i="4"/>
  <c r="AE54" i="4"/>
  <c r="AN54" i="4" s="1"/>
  <c r="AZ54" i="4" s="1"/>
  <c r="AF54" i="4"/>
  <c r="AO54" i="4" s="1"/>
  <c r="BA54" i="4" s="1"/>
  <c r="BD54" i="4" s="1"/>
  <c r="AE56" i="4"/>
  <c r="AN56" i="4" s="1"/>
  <c r="AF56" i="4"/>
  <c r="AE57" i="4"/>
  <c r="AF57" i="4"/>
  <c r="AO57" i="4" s="1"/>
  <c r="AE58" i="4"/>
  <c r="AN58" i="4" s="1"/>
  <c r="AZ58" i="4" s="1"/>
  <c r="AF58" i="4"/>
  <c r="AO58" i="4" s="1"/>
  <c r="BA58" i="4" s="1"/>
  <c r="BD58" i="4" s="1"/>
  <c r="AE59" i="4"/>
  <c r="AF59" i="4"/>
  <c r="AO59" i="4" s="1"/>
  <c r="AE62" i="4"/>
  <c r="AF62" i="4"/>
  <c r="AE63" i="4"/>
  <c r="AF63" i="4"/>
  <c r="AE64" i="4"/>
  <c r="AF64" i="4"/>
  <c r="AE65" i="4"/>
  <c r="AF65" i="4"/>
  <c r="AE67" i="4"/>
  <c r="AF67" i="4"/>
  <c r="AE68" i="4"/>
  <c r="AN68" i="4" s="1"/>
  <c r="AF68" i="4"/>
  <c r="AO68" i="4" s="1"/>
  <c r="AE69" i="4"/>
  <c r="AF69" i="4"/>
  <c r="AO69" i="4" s="1"/>
  <c r="AX69" i="4" s="1"/>
  <c r="AE70" i="4"/>
  <c r="AN70" i="4" s="1"/>
  <c r="AF70" i="4"/>
  <c r="AO70" i="4" s="1"/>
  <c r="BA70" i="4" s="1"/>
  <c r="BD70" i="4" s="1"/>
  <c r="AE71" i="4"/>
  <c r="AN71" i="4" s="1"/>
  <c r="AF71" i="4"/>
  <c r="AO71" i="4" s="1"/>
  <c r="AE72" i="4"/>
  <c r="AN72" i="4" s="1"/>
  <c r="AF72" i="4"/>
  <c r="AO72" i="4" s="1"/>
  <c r="AX72" i="4" s="1"/>
  <c r="AE73" i="4"/>
  <c r="AF73" i="4"/>
  <c r="AO73" i="4" s="1"/>
  <c r="AF5" i="4"/>
  <c r="AE5" i="4"/>
  <c r="AN5" i="4" s="1"/>
  <c r="AV73" i="4"/>
  <c r="AV72" i="4"/>
  <c r="AV71" i="4"/>
  <c r="AV70" i="4"/>
  <c r="AV69" i="4"/>
  <c r="AV68" i="4"/>
  <c r="AV67" i="4"/>
  <c r="AV65" i="4"/>
  <c r="AV64" i="4"/>
  <c r="AV63" i="4"/>
  <c r="AV62" i="4"/>
  <c r="AV59" i="4"/>
  <c r="AV58" i="4"/>
  <c r="AV57" i="4"/>
  <c r="AV56" i="4"/>
  <c r="AV54" i="4"/>
  <c r="AV53" i="4"/>
  <c r="AV51" i="4"/>
  <c r="AV50" i="4"/>
  <c r="AV49" i="4"/>
  <c r="AV48" i="4"/>
  <c r="AV47" i="4"/>
  <c r="AV46" i="4"/>
  <c r="AV45" i="4"/>
  <c r="AV44" i="4"/>
  <c r="AV42" i="4"/>
  <c r="AV40" i="4"/>
  <c r="AV39" i="4"/>
  <c r="AV38" i="4"/>
  <c r="AV37" i="4"/>
  <c r="AV36" i="4"/>
  <c r="AV35" i="4"/>
  <c r="AV33" i="4"/>
  <c r="AV32" i="4"/>
  <c r="AV30" i="4"/>
  <c r="AV29" i="4"/>
  <c r="AV28" i="4"/>
  <c r="AV27" i="4"/>
  <c r="AV26" i="4"/>
  <c r="AV24" i="4"/>
  <c r="AV23" i="4"/>
  <c r="AV22" i="4"/>
  <c r="AV21" i="4"/>
  <c r="AV20" i="4"/>
  <c r="AV19" i="4"/>
  <c r="AV17" i="4"/>
  <c r="AV16" i="4"/>
  <c r="AV15" i="4"/>
  <c r="AV14" i="4"/>
  <c r="AV13" i="4"/>
  <c r="AV12" i="4"/>
  <c r="AV11" i="4"/>
  <c r="AV10" i="4"/>
  <c r="AV9" i="4"/>
  <c r="AV7" i="4"/>
  <c r="AV6" i="4"/>
  <c r="AV5" i="4"/>
  <c r="AS73" i="4"/>
  <c r="AS72" i="4"/>
  <c r="AS71" i="4"/>
  <c r="AS70" i="4"/>
  <c r="AS69" i="4"/>
  <c r="AS68" i="4"/>
  <c r="AS67" i="4"/>
  <c r="AS65" i="4"/>
  <c r="AS64" i="4"/>
  <c r="AS63" i="4"/>
  <c r="AS62" i="4"/>
  <c r="AS59" i="4"/>
  <c r="AS58" i="4"/>
  <c r="AS57" i="4"/>
  <c r="AS56" i="4"/>
  <c r="AS54" i="4"/>
  <c r="AS53" i="4"/>
  <c r="AS51" i="4"/>
  <c r="AS50" i="4"/>
  <c r="AS49" i="4"/>
  <c r="AS48" i="4"/>
  <c r="AS47" i="4"/>
  <c r="AS46" i="4"/>
  <c r="AS45" i="4"/>
  <c r="AS44" i="4"/>
  <c r="AS42" i="4"/>
  <c r="AS40" i="4"/>
  <c r="AS39" i="4"/>
  <c r="AS38" i="4"/>
  <c r="AS37" i="4"/>
  <c r="AS36" i="4"/>
  <c r="AS35" i="4"/>
  <c r="AS33" i="4"/>
  <c r="AS32" i="4"/>
  <c r="AS30" i="4"/>
  <c r="AS29" i="4"/>
  <c r="AS28" i="4"/>
  <c r="AS27" i="4"/>
  <c r="AS26" i="4"/>
  <c r="AS24" i="4"/>
  <c r="AS23" i="4"/>
  <c r="AS22" i="4"/>
  <c r="AS21" i="4"/>
  <c r="AS20" i="4"/>
  <c r="AS19" i="4"/>
  <c r="AS17" i="4"/>
  <c r="AS16" i="4"/>
  <c r="AS15" i="4"/>
  <c r="AS14" i="4"/>
  <c r="AS13" i="4"/>
  <c r="AS12" i="4"/>
  <c r="AS11" i="4"/>
  <c r="AS10" i="4"/>
  <c r="AS9" i="4"/>
  <c r="AS7" i="4"/>
  <c r="AS6" i="4"/>
  <c r="AS5" i="4"/>
  <c r="AM73" i="4"/>
  <c r="AM72" i="4"/>
  <c r="AM71" i="4"/>
  <c r="AM70" i="4"/>
  <c r="AM69" i="4"/>
  <c r="AM68" i="4"/>
  <c r="AM67" i="4"/>
  <c r="AM65" i="4"/>
  <c r="AM64" i="4"/>
  <c r="AM63" i="4"/>
  <c r="AM62" i="4"/>
  <c r="AM59" i="4"/>
  <c r="AM58" i="4"/>
  <c r="AM57" i="4"/>
  <c r="AM56" i="4"/>
  <c r="AM54" i="4"/>
  <c r="AM53" i="4"/>
  <c r="AM51" i="4"/>
  <c r="AM50" i="4"/>
  <c r="AM49" i="4"/>
  <c r="AM48" i="4"/>
  <c r="AM47" i="4"/>
  <c r="AM46" i="4"/>
  <c r="AM45" i="4"/>
  <c r="AM44" i="4"/>
  <c r="AM42" i="4"/>
  <c r="AM40" i="4"/>
  <c r="AM39" i="4"/>
  <c r="AM38" i="4"/>
  <c r="AM37" i="4"/>
  <c r="AM36" i="4"/>
  <c r="AM35" i="4"/>
  <c r="AM33" i="4"/>
  <c r="AM32" i="4"/>
  <c r="AM30" i="4"/>
  <c r="AM29" i="4"/>
  <c r="AM28" i="4"/>
  <c r="AM27" i="4"/>
  <c r="AM26" i="4"/>
  <c r="AM24" i="4"/>
  <c r="AM23" i="4"/>
  <c r="AM22" i="4"/>
  <c r="AM21" i="4"/>
  <c r="AM20" i="4"/>
  <c r="AM19" i="4"/>
  <c r="AM17" i="4"/>
  <c r="AM16" i="4"/>
  <c r="AM15" i="4"/>
  <c r="AM14" i="4"/>
  <c r="AM13" i="4"/>
  <c r="AM12" i="4"/>
  <c r="AM11" i="4"/>
  <c r="AM10" i="4"/>
  <c r="AM9" i="4"/>
  <c r="AM7" i="4"/>
  <c r="AM6" i="4"/>
  <c r="AM5" i="4"/>
  <c r="AJ73" i="4"/>
  <c r="AJ72" i="4"/>
  <c r="AJ71" i="4"/>
  <c r="AJ70" i="4"/>
  <c r="AJ69" i="4"/>
  <c r="AJ68" i="4"/>
  <c r="AJ67" i="4"/>
  <c r="AJ65" i="4"/>
  <c r="AJ64" i="4"/>
  <c r="AJ63" i="4"/>
  <c r="AJ62" i="4"/>
  <c r="AJ59" i="4"/>
  <c r="AJ58" i="4"/>
  <c r="AJ57" i="4"/>
  <c r="AJ56" i="4"/>
  <c r="AJ54" i="4"/>
  <c r="AJ53" i="4"/>
  <c r="AJ51" i="4"/>
  <c r="AJ50" i="4"/>
  <c r="AJ49" i="4"/>
  <c r="AJ48" i="4"/>
  <c r="AJ47" i="4"/>
  <c r="AJ46" i="4"/>
  <c r="AJ45" i="4"/>
  <c r="AJ44" i="4"/>
  <c r="AJ42" i="4"/>
  <c r="AJ40" i="4"/>
  <c r="AJ39" i="4"/>
  <c r="AJ38" i="4"/>
  <c r="AJ37" i="4"/>
  <c r="AJ36" i="4"/>
  <c r="AJ35" i="4"/>
  <c r="AJ33" i="4"/>
  <c r="AJ32" i="4"/>
  <c r="AJ30" i="4"/>
  <c r="AJ29" i="4"/>
  <c r="AJ28" i="4"/>
  <c r="AJ27" i="4"/>
  <c r="AJ26" i="4"/>
  <c r="AJ24" i="4"/>
  <c r="AJ23" i="4"/>
  <c r="AJ22" i="4"/>
  <c r="AJ21" i="4"/>
  <c r="AJ20" i="4"/>
  <c r="AJ19" i="4"/>
  <c r="AJ17" i="4"/>
  <c r="AJ16" i="4"/>
  <c r="AJ15" i="4"/>
  <c r="AJ14" i="4"/>
  <c r="AJ13" i="4"/>
  <c r="AJ12" i="4"/>
  <c r="AJ11" i="4"/>
  <c r="AJ10" i="4"/>
  <c r="AJ9" i="4"/>
  <c r="AJ7" i="4"/>
  <c r="AJ6" i="4"/>
  <c r="AJ5" i="4"/>
  <c r="AD73" i="4"/>
  <c r="AD72" i="4"/>
  <c r="AD71" i="4"/>
  <c r="AD70" i="4"/>
  <c r="AD69" i="4"/>
  <c r="AD68" i="4"/>
  <c r="AD67" i="4"/>
  <c r="AD65" i="4"/>
  <c r="AD64" i="4"/>
  <c r="AD63" i="4"/>
  <c r="AD62" i="4"/>
  <c r="AD59" i="4"/>
  <c r="AD58" i="4"/>
  <c r="AD57" i="4"/>
  <c r="AD56" i="4"/>
  <c r="AD54" i="4"/>
  <c r="AD53" i="4"/>
  <c r="AD51" i="4"/>
  <c r="AD50" i="4"/>
  <c r="AD49" i="4"/>
  <c r="AD48" i="4"/>
  <c r="AD47" i="4"/>
  <c r="AD46" i="4"/>
  <c r="AD45" i="4"/>
  <c r="AD44" i="4"/>
  <c r="AD42" i="4"/>
  <c r="AD40" i="4"/>
  <c r="AD39" i="4"/>
  <c r="AD38" i="4"/>
  <c r="AD37" i="4"/>
  <c r="AD36" i="4"/>
  <c r="AD35" i="4"/>
  <c r="AD33" i="4"/>
  <c r="AD32" i="4"/>
  <c r="AD30" i="4"/>
  <c r="AD29" i="4"/>
  <c r="AD28" i="4"/>
  <c r="AD27" i="4"/>
  <c r="AD26" i="4"/>
  <c r="AD17" i="4"/>
  <c r="AD16" i="4"/>
  <c r="AD15" i="4"/>
  <c r="AD14" i="4"/>
  <c r="AD13" i="4"/>
  <c r="AD12" i="4"/>
  <c r="AD11" i="4"/>
  <c r="AD10" i="4"/>
  <c r="AD9" i="4"/>
  <c r="AD7" i="4"/>
  <c r="AD6" i="4"/>
  <c r="AD5" i="4"/>
  <c r="AA73" i="4"/>
  <c r="AA72" i="4"/>
  <c r="AA71" i="4"/>
  <c r="AA70" i="4"/>
  <c r="AA69" i="4"/>
  <c r="AA68" i="4"/>
  <c r="AA67" i="4"/>
  <c r="AA65" i="4"/>
  <c r="AA64" i="4"/>
  <c r="AA63" i="4"/>
  <c r="AA62" i="4"/>
  <c r="AA59" i="4"/>
  <c r="AA58" i="4"/>
  <c r="AA57" i="4"/>
  <c r="AA56" i="4"/>
  <c r="AA54" i="4"/>
  <c r="AA53" i="4"/>
  <c r="AA51" i="4"/>
  <c r="AA50" i="4"/>
  <c r="AA49" i="4"/>
  <c r="AA48" i="4"/>
  <c r="AA47" i="4"/>
  <c r="AA46" i="4"/>
  <c r="AA45" i="4"/>
  <c r="AA44" i="4"/>
  <c r="AA42" i="4"/>
  <c r="AA40" i="4"/>
  <c r="AA39" i="4"/>
  <c r="AA38" i="4"/>
  <c r="AA37" i="4"/>
  <c r="AA36" i="4"/>
  <c r="AA35" i="4"/>
  <c r="AA33" i="4"/>
  <c r="AA32" i="4"/>
  <c r="AA30" i="4"/>
  <c r="AA29" i="4"/>
  <c r="AA28" i="4"/>
  <c r="AA27" i="4"/>
  <c r="AA26" i="4"/>
  <c r="AA24" i="4"/>
  <c r="AA23" i="4"/>
  <c r="AA22" i="4"/>
  <c r="AA21" i="4"/>
  <c r="AA20" i="4"/>
  <c r="AA19" i="4"/>
  <c r="AA17" i="4"/>
  <c r="AA16" i="4"/>
  <c r="AA15" i="4"/>
  <c r="AA14" i="4"/>
  <c r="AA13" i="4"/>
  <c r="AA12" i="4"/>
  <c r="AA11" i="4"/>
  <c r="AA10" i="4"/>
  <c r="AA9" i="4"/>
  <c r="AA7" i="4"/>
  <c r="AA6" i="4"/>
  <c r="AA5" i="4"/>
  <c r="X73" i="4"/>
  <c r="X72" i="4"/>
  <c r="X71" i="4"/>
  <c r="X70" i="4"/>
  <c r="X69" i="4"/>
  <c r="X68" i="4"/>
  <c r="X67" i="4"/>
  <c r="X65" i="4"/>
  <c r="X64" i="4"/>
  <c r="X63" i="4"/>
  <c r="X62" i="4"/>
  <c r="X59" i="4"/>
  <c r="X58" i="4"/>
  <c r="X57" i="4"/>
  <c r="X56" i="4"/>
  <c r="X54" i="4"/>
  <c r="X53" i="4"/>
  <c r="X51" i="4"/>
  <c r="X50" i="4"/>
  <c r="X49" i="4"/>
  <c r="X48" i="4"/>
  <c r="X47" i="4"/>
  <c r="X46" i="4"/>
  <c r="X45" i="4"/>
  <c r="X44" i="4"/>
  <c r="X42" i="4"/>
  <c r="X40" i="4"/>
  <c r="X39" i="4"/>
  <c r="X38" i="4"/>
  <c r="X37" i="4"/>
  <c r="X36" i="4"/>
  <c r="X35" i="4"/>
  <c r="X33" i="4"/>
  <c r="X32" i="4"/>
  <c r="X30" i="4"/>
  <c r="X29" i="4"/>
  <c r="X28" i="4"/>
  <c r="X27" i="4"/>
  <c r="X26" i="4"/>
  <c r="X24" i="4"/>
  <c r="X23" i="4"/>
  <c r="X22" i="4"/>
  <c r="X21" i="4"/>
  <c r="X20" i="4"/>
  <c r="X19" i="4"/>
  <c r="X17" i="4"/>
  <c r="X16" i="4"/>
  <c r="X15" i="4"/>
  <c r="X14" i="4"/>
  <c r="X13" i="4"/>
  <c r="X12" i="4"/>
  <c r="X11" i="4"/>
  <c r="X10" i="4"/>
  <c r="X9" i="4"/>
  <c r="X7" i="4"/>
  <c r="X6" i="4"/>
  <c r="X5" i="4"/>
  <c r="U73" i="4"/>
  <c r="U72" i="4"/>
  <c r="U71" i="4"/>
  <c r="U70" i="4"/>
  <c r="U69" i="4"/>
  <c r="U68" i="4"/>
  <c r="U67" i="4"/>
  <c r="U65" i="4"/>
  <c r="U64" i="4"/>
  <c r="U63" i="4"/>
  <c r="U62" i="4"/>
  <c r="U59" i="4"/>
  <c r="U58" i="4"/>
  <c r="U57" i="4"/>
  <c r="U56" i="4"/>
  <c r="U54" i="4"/>
  <c r="U53" i="4"/>
  <c r="U51" i="4"/>
  <c r="U50" i="4"/>
  <c r="U49" i="4"/>
  <c r="U48" i="4"/>
  <c r="U47" i="4"/>
  <c r="U46" i="4"/>
  <c r="U45" i="4"/>
  <c r="U44" i="4"/>
  <c r="U42" i="4"/>
  <c r="U40" i="4"/>
  <c r="U39" i="4"/>
  <c r="U38" i="4"/>
  <c r="U37" i="4"/>
  <c r="U36" i="4"/>
  <c r="U35" i="4"/>
  <c r="U33" i="4"/>
  <c r="U32" i="4"/>
  <c r="U30" i="4"/>
  <c r="U29" i="4"/>
  <c r="U28" i="4"/>
  <c r="U27" i="4"/>
  <c r="U26" i="4"/>
  <c r="U24" i="4"/>
  <c r="U23" i="4"/>
  <c r="U22" i="4"/>
  <c r="U21" i="4"/>
  <c r="U20" i="4"/>
  <c r="U19" i="4"/>
  <c r="U17" i="4"/>
  <c r="U16" i="4"/>
  <c r="U15" i="4"/>
  <c r="U14" i="4"/>
  <c r="U13" i="4"/>
  <c r="U12" i="4"/>
  <c r="U11" i="4"/>
  <c r="U10" i="4"/>
  <c r="U9" i="4"/>
  <c r="U7" i="4"/>
  <c r="U6" i="4"/>
  <c r="U5" i="4"/>
  <c r="R73" i="4"/>
  <c r="R72" i="4"/>
  <c r="R71" i="4"/>
  <c r="R70" i="4"/>
  <c r="R69" i="4"/>
  <c r="R68" i="4"/>
  <c r="R67" i="4"/>
  <c r="R65" i="4"/>
  <c r="R64" i="4"/>
  <c r="R63" i="4"/>
  <c r="R62" i="4"/>
  <c r="R59" i="4"/>
  <c r="R58" i="4"/>
  <c r="R57" i="4"/>
  <c r="R56" i="4"/>
  <c r="R54" i="4"/>
  <c r="R53" i="4"/>
  <c r="R51" i="4"/>
  <c r="R50" i="4"/>
  <c r="R49" i="4"/>
  <c r="R48" i="4"/>
  <c r="R47" i="4"/>
  <c r="R46" i="4"/>
  <c r="R45" i="4"/>
  <c r="R44" i="4"/>
  <c r="R42" i="4"/>
  <c r="R40" i="4"/>
  <c r="R39" i="4"/>
  <c r="R38" i="4"/>
  <c r="R37" i="4"/>
  <c r="R36" i="4"/>
  <c r="R35" i="4"/>
  <c r="R33" i="4"/>
  <c r="R32" i="4"/>
  <c r="R30" i="4"/>
  <c r="R29" i="4"/>
  <c r="R28" i="4"/>
  <c r="R27" i="4"/>
  <c r="R26" i="4"/>
  <c r="R24" i="4"/>
  <c r="R23" i="4"/>
  <c r="R22" i="4"/>
  <c r="R21" i="4"/>
  <c r="R20" i="4"/>
  <c r="R19" i="4"/>
  <c r="R17" i="4"/>
  <c r="R16" i="4"/>
  <c r="R15" i="4"/>
  <c r="R14" i="4"/>
  <c r="R13" i="4"/>
  <c r="R12" i="4"/>
  <c r="R11" i="4"/>
  <c r="R10" i="4"/>
  <c r="R9" i="4"/>
  <c r="R7" i="4"/>
  <c r="R6" i="4"/>
  <c r="R5" i="4"/>
  <c r="O73" i="4"/>
  <c r="O72" i="4"/>
  <c r="O71" i="4"/>
  <c r="O70" i="4"/>
  <c r="O69" i="4"/>
  <c r="O68" i="4"/>
  <c r="O67" i="4"/>
  <c r="O65" i="4"/>
  <c r="O64" i="4"/>
  <c r="O63" i="4"/>
  <c r="O62" i="4"/>
  <c r="O59" i="4"/>
  <c r="O58" i="4"/>
  <c r="O57" i="4"/>
  <c r="O56" i="4"/>
  <c r="O54" i="4"/>
  <c r="O53" i="4"/>
  <c r="O51" i="4"/>
  <c r="O50" i="4"/>
  <c r="O49" i="4"/>
  <c r="O48" i="4"/>
  <c r="O47" i="4"/>
  <c r="O46" i="4"/>
  <c r="O45" i="4"/>
  <c r="O44" i="4"/>
  <c r="O42" i="4"/>
  <c r="O40" i="4"/>
  <c r="O39" i="4"/>
  <c r="O38" i="4"/>
  <c r="O37" i="4"/>
  <c r="O36" i="4"/>
  <c r="O35" i="4"/>
  <c r="O33" i="4"/>
  <c r="O32" i="4"/>
  <c r="O30" i="4"/>
  <c r="O29" i="4"/>
  <c r="O28" i="4"/>
  <c r="O27" i="4"/>
  <c r="O26" i="4"/>
  <c r="O24" i="4"/>
  <c r="O23" i="4"/>
  <c r="O22" i="4"/>
  <c r="O21" i="4"/>
  <c r="O20" i="4"/>
  <c r="O19" i="4"/>
  <c r="O17" i="4"/>
  <c r="O16" i="4"/>
  <c r="O15" i="4"/>
  <c r="O14" i="4"/>
  <c r="O13" i="4"/>
  <c r="O12" i="4"/>
  <c r="O11" i="4"/>
  <c r="O10" i="4"/>
  <c r="O9" i="4"/>
  <c r="O7" i="4"/>
  <c r="O6" i="4"/>
  <c r="O5" i="4"/>
  <c r="L73" i="4"/>
  <c r="L72" i="4"/>
  <c r="L71" i="4"/>
  <c r="L70" i="4"/>
  <c r="L69" i="4"/>
  <c r="L68" i="4"/>
  <c r="L67" i="4"/>
  <c r="L65" i="4"/>
  <c r="L64" i="4"/>
  <c r="L63" i="4"/>
  <c r="L62" i="4"/>
  <c r="L59" i="4"/>
  <c r="L58" i="4"/>
  <c r="L57" i="4"/>
  <c r="L56" i="4"/>
  <c r="L54" i="4"/>
  <c r="L53" i="4"/>
  <c r="L51" i="4"/>
  <c r="L50" i="4"/>
  <c r="L49" i="4"/>
  <c r="L48" i="4"/>
  <c r="L47" i="4"/>
  <c r="L46" i="4"/>
  <c r="L45" i="4"/>
  <c r="L44" i="4"/>
  <c r="L40" i="4"/>
  <c r="L39" i="4"/>
  <c r="L38" i="4"/>
  <c r="L37" i="4"/>
  <c r="L36" i="4"/>
  <c r="L35" i="4"/>
  <c r="L33" i="4"/>
  <c r="L32" i="4"/>
  <c r="L30" i="4"/>
  <c r="L29" i="4"/>
  <c r="L28" i="4"/>
  <c r="L27" i="4"/>
  <c r="L26" i="4"/>
  <c r="L24" i="4"/>
  <c r="L23" i="4"/>
  <c r="L22" i="4"/>
  <c r="L21" i="4"/>
  <c r="L20" i="4"/>
  <c r="L19" i="4"/>
  <c r="L17" i="4"/>
  <c r="L16" i="4"/>
  <c r="L15" i="4"/>
  <c r="L14" i="4"/>
  <c r="L13" i="4"/>
  <c r="L12" i="4"/>
  <c r="L11" i="4"/>
  <c r="L10" i="4"/>
  <c r="L9" i="4"/>
  <c r="L7" i="4"/>
  <c r="L6" i="4"/>
  <c r="L5" i="4"/>
  <c r="I73" i="4"/>
  <c r="I72" i="4"/>
  <c r="I71" i="4"/>
  <c r="I70" i="4"/>
  <c r="I69" i="4"/>
  <c r="I68" i="4"/>
  <c r="I67" i="4"/>
  <c r="I65" i="4"/>
  <c r="I64" i="4"/>
  <c r="I63" i="4"/>
  <c r="I62" i="4"/>
  <c r="I59" i="4"/>
  <c r="I58" i="4"/>
  <c r="I57" i="4"/>
  <c r="I56" i="4"/>
  <c r="I54" i="4"/>
  <c r="I53" i="4"/>
  <c r="I51" i="4"/>
  <c r="I50" i="4"/>
  <c r="I49" i="4"/>
  <c r="I48" i="4"/>
  <c r="I47" i="4"/>
  <c r="I46" i="4"/>
  <c r="I45" i="4"/>
  <c r="I44" i="4"/>
  <c r="I40" i="4"/>
  <c r="I39" i="4"/>
  <c r="I38" i="4"/>
  <c r="I37" i="4"/>
  <c r="I36" i="4"/>
  <c r="I35" i="4"/>
  <c r="I33" i="4"/>
  <c r="I32" i="4"/>
  <c r="I30" i="4"/>
  <c r="I29" i="4"/>
  <c r="I28" i="4"/>
  <c r="I27" i="4"/>
  <c r="I26" i="4"/>
  <c r="I24" i="4"/>
  <c r="I23" i="4"/>
  <c r="I22" i="4"/>
  <c r="I21" i="4"/>
  <c r="I20" i="4"/>
  <c r="I19" i="4"/>
  <c r="I17" i="4"/>
  <c r="I16" i="4"/>
  <c r="I15" i="4"/>
  <c r="I14" i="4"/>
  <c r="I13" i="4"/>
  <c r="I12" i="4"/>
  <c r="I11" i="4"/>
  <c r="I10" i="4"/>
  <c r="I9" i="4"/>
  <c r="I7" i="4"/>
  <c r="I6" i="4"/>
  <c r="I5" i="4"/>
  <c r="E11" i="4"/>
  <c r="AN65" i="4" l="1"/>
  <c r="AO64" i="4"/>
  <c r="AN64" i="4"/>
  <c r="AZ64" i="4" s="1"/>
  <c r="AN63" i="4"/>
  <c r="AW63" i="4" s="1"/>
  <c r="AN62" i="4"/>
  <c r="AW62" i="4" s="1"/>
  <c r="AO63" i="4"/>
  <c r="BA63" i="4" s="1"/>
  <c r="BD63" i="4" s="1"/>
  <c r="L75" i="4"/>
  <c r="AO56" i="4"/>
  <c r="AO60" i="4" s="1"/>
  <c r="AF60" i="4"/>
  <c r="AZ56" i="4"/>
  <c r="AE60" i="4"/>
  <c r="AN33" i="4"/>
  <c r="AZ33" i="4" s="1"/>
  <c r="BC33" i="4" s="1"/>
  <c r="AO62" i="4"/>
  <c r="AO53" i="4"/>
  <c r="AF55" i="4"/>
  <c r="AE55" i="4"/>
  <c r="AE66" i="4"/>
  <c r="AF66" i="4"/>
  <c r="AO67" i="4"/>
  <c r="AO74" i="4" s="1"/>
  <c r="AF74" i="4"/>
  <c r="AE74" i="4"/>
  <c r="AN67" i="4"/>
  <c r="AW67" i="4" s="1"/>
  <c r="AN32" i="4"/>
  <c r="AP32" i="4" s="1"/>
  <c r="AO65" i="4"/>
  <c r="AX65" i="4" s="1"/>
  <c r="AG72" i="4"/>
  <c r="AG64" i="4"/>
  <c r="AG56" i="4"/>
  <c r="AG73" i="4"/>
  <c r="AG65" i="4"/>
  <c r="AG53" i="4"/>
  <c r="AG69" i="4"/>
  <c r="AG57" i="4"/>
  <c r="AG7" i="4"/>
  <c r="AX68" i="4"/>
  <c r="BA68" i="4"/>
  <c r="BD68" i="4" s="1"/>
  <c r="BA7" i="4"/>
  <c r="BD7" i="4" s="1"/>
  <c r="BE7" i="4" s="1"/>
  <c r="AP7" i="4"/>
  <c r="D67" i="4"/>
  <c r="D53" i="4"/>
  <c r="D45" i="4"/>
  <c r="E35" i="4"/>
  <c r="E24" i="4"/>
  <c r="E16" i="4"/>
  <c r="D9" i="4"/>
  <c r="E73" i="4"/>
  <c r="D59" i="4"/>
  <c r="D51" i="4"/>
  <c r="D44" i="4"/>
  <c r="E32" i="4"/>
  <c r="E23" i="4"/>
  <c r="D16" i="4"/>
  <c r="E7" i="4"/>
  <c r="AO42" i="4"/>
  <c r="AO43" i="4" s="1"/>
  <c r="AF43" i="4"/>
  <c r="AZ65" i="4"/>
  <c r="BC65" i="4" s="1"/>
  <c r="AG42" i="4"/>
  <c r="E72" i="4"/>
  <c r="D65" i="4"/>
  <c r="E58" i="4"/>
  <c r="E50" i="4"/>
  <c r="E40" i="4"/>
  <c r="E30" i="4"/>
  <c r="D23" i="4"/>
  <c r="E14" i="4"/>
  <c r="E6" i="4"/>
  <c r="AP72" i="4"/>
  <c r="AE43" i="4"/>
  <c r="AN42" i="4"/>
  <c r="AN43" i="4" s="1"/>
  <c r="AG37" i="4"/>
  <c r="AX64" i="4"/>
  <c r="AN53" i="4"/>
  <c r="AW58" i="4"/>
  <c r="L31" i="4"/>
  <c r="D72" i="4"/>
  <c r="E64" i="4"/>
  <c r="E57" i="4"/>
  <c r="D49" i="4"/>
  <c r="E39" i="4"/>
  <c r="D29" i="4"/>
  <c r="D22" i="4"/>
  <c r="D14" i="4"/>
  <c r="AG54" i="4"/>
  <c r="AM31" i="4"/>
  <c r="E70" i="4"/>
  <c r="D64" i="4"/>
  <c r="E56" i="4"/>
  <c r="E48" i="4"/>
  <c r="D39" i="4"/>
  <c r="E28" i="4"/>
  <c r="D21" i="4"/>
  <c r="E12" i="4"/>
  <c r="AP70" i="4"/>
  <c r="E37" i="4"/>
  <c r="E36" i="4"/>
  <c r="AG58" i="4"/>
  <c r="E42" i="4"/>
  <c r="E43" i="4" s="1"/>
  <c r="D42" i="4"/>
  <c r="D43" i="4" s="1"/>
  <c r="AJ31" i="4"/>
  <c r="E69" i="4"/>
  <c r="D63" i="4"/>
  <c r="D56" i="4"/>
  <c r="D48" i="4"/>
  <c r="D28" i="4"/>
  <c r="E20" i="4"/>
  <c r="D12" i="4"/>
  <c r="AG63" i="4"/>
  <c r="D69" i="4"/>
  <c r="E54" i="4"/>
  <c r="D47" i="4"/>
  <c r="D27" i="4"/>
  <c r="D19" i="4"/>
  <c r="AG70" i="4"/>
  <c r="AG62" i="4"/>
  <c r="AN69" i="4"/>
  <c r="E5" i="4"/>
  <c r="E68" i="4"/>
  <c r="E53" i="4"/>
  <c r="E45" i="4"/>
  <c r="D36" i="4"/>
  <c r="F36" i="4" s="1"/>
  <c r="D17" i="4"/>
  <c r="E10" i="4"/>
  <c r="AG28" i="4"/>
  <c r="AW70" i="4"/>
  <c r="AG49" i="4"/>
  <c r="AG45" i="4"/>
  <c r="AG50" i="4"/>
  <c r="AG48" i="4"/>
  <c r="AG46" i="4"/>
  <c r="AF52" i="4"/>
  <c r="AO44" i="4"/>
  <c r="BA44" i="4" s="1"/>
  <c r="AG44" i="4"/>
  <c r="AN46" i="4"/>
  <c r="AW46" i="4" s="1"/>
  <c r="AN44" i="4"/>
  <c r="AZ44" i="4" s="1"/>
  <c r="AE52" i="4"/>
  <c r="AP49" i="4"/>
  <c r="AP48" i="4"/>
  <c r="AX58" i="4"/>
  <c r="AW54" i="4"/>
  <c r="AW49" i="4"/>
  <c r="AW51" i="4"/>
  <c r="AZ51" i="4"/>
  <c r="BA73" i="4"/>
  <c r="BD73" i="4" s="1"/>
  <c r="AX73" i="4"/>
  <c r="BA45" i="4"/>
  <c r="AX45" i="4"/>
  <c r="BB58" i="4"/>
  <c r="BC58" i="4"/>
  <c r="BE58" i="4" s="1"/>
  <c r="BC54" i="4"/>
  <c r="BE54" i="4" s="1"/>
  <c r="BB54" i="4"/>
  <c r="BA57" i="4"/>
  <c r="BD57" i="4" s="1"/>
  <c r="AX57" i="4"/>
  <c r="AX71" i="4"/>
  <c r="BA71" i="4"/>
  <c r="BD71" i="4" s="1"/>
  <c r="AP63" i="4"/>
  <c r="AX63" i="4"/>
  <c r="AX59" i="4"/>
  <c r="BA59" i="4"/>
  <c r="BD59" i="4" s="1"/>
  <c r="AP51" i="4"/>
  <c r="BA51" i="4"/>
  <c r="BD51" i="4" s="1"/>
  <c r="AX51" i="4"/>
  <c r="AX47" i="4"/>
  <c r="BA47" i="4"/>
  <c r="BD47" i="4" s="1"/>
  <c r="AO5" i="4"/>
  <c r="AX5" i="4" s="1"/>
  <c r="AF8" i="4"/>
  <c r="AG47" i="4"/>
  <c r="AX7" i="4"/>
  <c r="AZ48" i="4"/>
  <c r="E33" i="4"/>
  <c r="D32" i="4"/>
  <c r="E9" i="4"/>
  <c r="E13" i="4"/>
  <c r="E17" i="4"/>
  <c r="E22" i="4"/>
  <c r="D26" i="4"/>
  <c r="D30" i="4"/>
  <c r="D37" i="4"/>
  <c r="D46" i="4"/>
  <c r="D50" i="4"/>
  <c r="D54" i="4"/>
  <c r="D58" i="4"/>
  <c r="D62" i="4"/>
  <c r="D70" i="4"/>
  <c r="D6" i="4"/>
  <c r="D11" i="4"/>
  <c r="D15" i="4"/>
  <c r="D20" i="4"/>
  <c r="D24" i="4"/>
  <c r="E27" i="4"/>
  <c r="D33" i="4"/>
  <c r="E38" i="4"/>
  <c r="E47" i="4"/>
  <c r="E51" i="4"/>
  <c r="E59" i="4"/>
  <c r="E63" i="4"/>
  <c r="E67" i="4"/>
  <c r="E71" i="4"/>
  <c r="D5" i="4"/>
  <c r="AG51" i="4"/>
  <c r="AG67" i="4"/>
  <c r="D73" i="4"/>
  <c r="D68" i="4"/>
  <c r="E62" i="4"/>
  <c r="D57" i="4"/>
  <c r="E46" i="4"/>
  <c r="D40" i="4"/>
  <c r="D35" i="4"/>
  <c r="E21" i="4"/>
  <c r="E15" i="4"/>
  <c r="D10" i="4"/>
  <c r="AN47" i="4"/>
  <c r="AW7" i="4"/>
  <c r="BA69" i="4"/>
  <c r="BD69" i="4" s="1"/>
  <c r="AP71" i="4"/>
  <c r="AW71" i="4"/>
  <c r="AZ5" i="4"/>
  <c r="AE8" i="4"/>
  <c r="AW48" i="4"/>
  <c r="AY48" i="4" s="1"/>
  <c r="AG59" i="4"/>
  <c r="AP54" i="4"/>
  <c r="AN73" i="4"/>
  <c r="AP73" i="4" s="1"/>
  <c r="AN57" i="4"/>
  <c r="AP57" i="4" s="1"/>
  <c r="AW72" i="4"/>
  <c r="AY72" i="4" s="1"/>
  <c r="AW56" i="4"/>
  <c r="AX50" i="4"/>
  <c r="BC49" i="4"/>
  <c r="AZ72" i="4"/>
  <c r="AW64" i="4"/>
  <c r="AG71" i="4"/>
  <c r="AN59" i="4"/>
  <c r="AZ70" i="4"/>
  <c r="AS31" i="4"/>
  <c r="BA49" i="4"/>
  <c r="BD49" i="4" s="1"/>
  <c r="AZ71" i="4"/>
  <c r="BA48" i="4"/>
  <c r="BD48" i="4" s="1"/>
  <c r="AP58" i="4"/>
  <c r="AX46" i="4"/>
  <c r="U31" i="4"/>
  <c r="X31" i="4"/>
  <c r="AV31" i="4"/>
  <c r="D71" i="4"/>
  <c r="E65" i="4"/>
  <c r="E49" i="4"/>
  <c r="E44" i="4"/>
  <c r="D38" i="4"/>
  <c r="F38" i="4" s="1"/>
  <c r="E29" i="4"/>
  <c r="E19" i="4"/>
  <c r="D13" i="4"/>
  <c r="D7" i="4"/>
  <c r="AN50" i="4"/>
  <c r="AN45" i="4"/>
  <c r="AP45" i="4" s="1"/>
  <c r="AX70" i="4"/>
  <c r="AX54" i="4"/>
  <c r="AX49" i="4"/>
  <c r="BA72" i="4"/>
  <c r="BD72" i="4" s="1"/>
  <c r="AG68" i="4"/>
  <c r="AG32" i="4"/>
  <c r="AF34" i="4"/>
  <c r="AG40" i="4"/>
  <c r="AG39" i="4"/>
  <c r="AG36" i="4"/>
  <c r="AN39" i="4"/>
  <c r="AZ39" i="4" s="1"/>
  <c r="BC39" i="4" s="1"/>
  <c r="AG35" i="4"/>
  <c r="AE41" i="4"/>
  <c r="AG38" i="4"/>
  <c r="AN37" i="4"/>
  <c r="AZ37" i="4" s="1"/>
  <c r="BC37" i="4" s="1"/>
  <c r="BE37" i="4" s="1"/>
  <c r="AO40" i="4"/>
  <c r="BA40" i="4" s="1"/>
  <c r="BD40" i="4" s="1"/>
  <c r="AN35" i="4"/>
  <c r="AZ35" i="4" s="1"/>
  <c r="AN38" i="4"/>
  <c r="AP38" i="4" s="1"/>
  <c r="AF41" i="4"/>
  <c r="AO35" i="4"/>
  <c r="AX35" i="4" s="1"/>
  <c r="BA39" i="4"/>
  <c r="BD39" i="4" s="1"/>
  <c r="AX39" i="4"/>
  <c r="BA38" i="4"/>
  <c r="BD38" i="4" s="1"/>
  <c r="BC40" i="4"/>
  <c r="BC36" i="4"/>
  <c r="BE36" i="4" s="1"/>
  <c r="BB36" i="4"/>
  <c r="AX37" i="4"/>
  <c r="AP36" i="4"/>
  <c r="AX36" i="4"/>
  <c r="AW40" i="4"/>
  <c r="AW36" i="4"/>
  <c r="AX32" i="4"/>
  <c r="AO34" i="4"/>
  <c r="AG33" i="4"/>
  <c r="AE34" i="4"/>
  <c r="BA32" i="4"/>
  <c r="AX33" i="4"/>
  <c r="BA33" i="4"/>
  <c r="AP27" i="4"/>
  <c r="AD31" i="4"/>
  <c r="AA31" i="4"/>
  <c r="AG27" i="4"/>
  <c r="AG30" i="4"/>
  <c r="AG29" i="4"/>
  <c r="BA30" i="4"/>
  <c r="BD30" i="4" s="1"/>
  <c r="AX30" i="4"/>
  <c r="AN30" i="4"/>
  <c r="AN29" i="4"/>
  <c r="AZ29" i="4" s="1"/>
  <c r="BC29" i="4" s="1"/>
  <c r="BE29" i="4" s="1"/>
  <c r="AO28" i="4"/>
  <c r="BA28" i="4" s="1"/>
  <c r="BD28" i="4" s="1"/>
  <c r="R31" i="4"/>
  <c r="AF31" i="4"/>
  <c r="AO26" i="4"/>
  <c r="BA26" i="4" s="1"/>
  <c r="AG26" i="4"/>
  <c r="AE31" i="4"/>
  <c r="AN26" i="4"/>
  <c r="AZ26" i="4" s="1"/>
  <c r="BC26" i="4" s="1"/>
  <c r="O31" i="4"/>
  <c r="BC28" i="4"/>
  <c r="BC27" i="4"/>
  <c r="AX29" i="4"/>
  <c r="AW28" i="4"/>
  <c r="AX27" i="4"/>
  <c r="AW27" i="4"/>
  <c r="BA27" i="4"/>
  <c r="BD27" i="4" s="1"/>
  <c r="I31" i="4"/>
  <c r="AG20" i="4"/>
  <c r="AG22" i="4"/>
  <c r="AF25" i="4"/>
  <c r="AE25" i="4"/>
  <c r="AN20" i="4"/>
  <c r="AZ20" i="4" s="1"/>
  <c r="BC20" i="4" s="1"/>
  <c r="AG19" i="4"/>
  <c r="AG23" i="4"/>
  <c r="AN23" i="4"/>
  <c r="AW23" i="4" s="1"/>
  <c r="AY23" i="4" s="1"/>
  <c r="AG24" i="4"/>
  <c r="AG21" i="4"/>
  <c r="AP22" i="4"/>
  <c r="AW22" i="4"/>
  <c r="AX20" i="4"/>
  <c r="AX21" i="4"/>
  <c r="AW21" i="4"/>
  <c r="BB21" i="4"/>
  <c r="BC21" i="4"/>
  <c r="BE21" i="4" s="1"/>
  <c r="AZ19" i="4"/>
  <c r="BA23" i="4"/>
  <c r="BD23" i="4" s="1"/>
  <c r="BA22" i="4"/>
  <c r="AW19" i="4"/>
  <c r="AX24" i="4"/>
  <c r="AY24" i="4" s="1"/>
  <c r="BA20" i="4"/>
  <c r="BD20" i="4" s="1"/>
  <c r="AP24" i="4"/>
  <c r="AZ24" i="4"/>
  <c r="AP19" i="4"/>
  <c r="AP21" i="4"/>
  <c r="AO25" i="4"/>
  <c r="AX22" i="4"/>
  <c r="BA19" i="4"/>
  <c r="AG13" i="4"/>
  <c r="AG11" i="4"/>
  <c r="AG17" i="4"/>
  <c r="AW13" i="4"/>
  <c r="AP13" i="4"/>
  <c r="AE18" i="4"/>
  <c r="AG14" i="4"/>
  <c r="AG12" i="4"/>
  <c r="AN14" i="4"/>
  <c r="AZ14" i="4" s="1"/>
  <c r="BC14" i="4" s="1"/>
  <c r="AG15" i="4"/>
  <c r="AG10" i="4"/>
  <c r="AG16" i="4"/>
  <c r="AX12" i="4"/>
  <c r="AN15" i="4"/>
  <c r="AW15" i="4" s="1"/>
  <c r="AY15" i="4" s="1"/>
  <c r="AG9" i="4"/>
  <c r="AF18" i="4"/>
  <c r="AO9" i="4"/>
  <c r="AO18" i="4" s="1"/>
  <c r="AZ9" i="4"/>
  <c r="BC9" i="4" s="1"/>
  <c r="AZ13" i="4"/>
  <c r="BC13" i="4" s="1"/>
  <c r="BE13" i="4" s="1"/>
  <c r="AP16" i="4"/>
  <c r="AP10" i="4"/>
  <c r="AP17" i="4"/>
  <c r="AP12" i="4"/>
  <c r="BC16" i="4"/>
  <c r="BB17" i="4"/>
  <c r="BC17" i="4"/>
  <c r="BE17" i="4" s="1"/>
  <c r="AW12" i="4"/>
  <c r="AZ12" i="4"/>
  <c r="AX11" i="4"/>
  <c r="AW17" i="4"/>
  <c r="AX10" i="4"/>
  <c r="BA16" i="4"/>
  <c r="BD16" i="4" s="1"/>
  <c r="AW16" i="4"/>
  <c r="BA15" i="4"/>
  <c r="BD15" i="4" s="1"/>
  <c r="AX14" i="4"/>
  <c r="BA14" i="4"/>
  <c r="BD14" i="4" s="1"/>
  <c r="AP11" i="4"/>
  <c r="AX17" i="4"/>
  <c r="AW11" i="4"/>
  <c r="AX16" i="4"/>
  <c r="BA10" i="4"/>
  <c r="AW10" i="4"/>
  <c r="AZ11" i="4"/>
  <c r="AX13" i="4"/>
  <c r="BA6" i="4"/>
  <c r="BD6" i="4" s="1"/>
  <c r="AX6" i="4"/>
  <c r="AG6" i="4"/>
  <c r="AG5" i="4"/>
  <c r="AN6" i="4"/>
  <c r="AW6" i="4" s="1"/>
  <c r="F72" i="4" l="1"/>
  <c r="AZ63" i="4"/>
  <c r="AW32" i="4"/>
  <c r="AY32" i="4" s="1"/>
  <c r="F58" i="4"/>
  <c r="F14" i="4"/>
  <c r="F39" i="4"/>
  <c r="AX56" i="4"/>
  <c r="AX60" i="4" s="1"/>
  <c r="BA67" i="4"/>
  <c r="BD67" i="4" s="1"/>
  <c r="BD74" i="4" s="1"/>
  <c r="AG55" i="4"/>
  <c r="AG74" i="4"/>
  <c r="AO66" i="4"/>
  <c r="F16" i="4"/>
  <c r="AG60" i="4"/>
  <c r="AG34" i="4"/>
  <c r="F6" i="4"/>
  <c r="F30" i="4"/>
  <c r="F35" i="4"/>
  <c r="BA65" i="4"/>
  <c r="BB65" i="4" s="1"/>
  <c r="AZ62" i="4"/>
  <c r="BB62" i="4" s="1"/>
  <c r="F64" i="4"/>
  <c r="AP62" i="4"/>
  <c r="AW33" i="4"/>
  <c r="F24" i="4"/>
  <c r="F10" i="4"/>
  <c r="F28" i="4"/>
  <c r="F69" i="4"/>
  <c r="AN74" i="4"/>
  <c r="AP74" i="4" s="1"/>
  <c r="F17" i="4"/>
  <c r="AP33" i="4"/>
  <c r="AP67" i="4"/>
  <c r="F48" i="4"/>
  <c r="D74" i="4"/>
  <c r="F32" i="4"/>
  <c r="BA53" i="4"/>
  <c r="AO55" i="4"/>
  <c r="E34" i="4"/>
  <c r="AX53" i="4"/>
  <c r="AX55" i="4" s="1"/>
  <c r="AZ53" i="4"/>
  <c r="AN55" i="4"/>
  <c r="BB7" i="4"/>
  <c r="F9" i="4"/>
  <c r="AW5" i="4"/>
  <c r="AW8" i="4" s="1"/>
  <c r="F65" i="4"/>
  <c r="F73" i="4"/>
  <c r="AX62" i="4"/>
  <c r="AY62" i="4" s="1"/>
  <c r="AN60" i="4"/>
  <c r="AP60" i="4" s="1"/>
  <c r="AZ32" i="4"/>
  <c r="BB32" i="4" s="1"/>
  <c r="AN34" i="4"/>
  <c r="AP34" i="4" s="1"/>
  <c r="AG66" i="4"/>
  <c r="BA62" i="4"/>
  <c r="BD62" i="4" s="1"/>
  <c r="AF75" i="4"/>
  <c r="AG8" i="4"/>
  <c r="AE75" i="4"/>
  <c r="AX67" i="4"/>
  <c r="AX74" i="4" s="1"/>
  <c r="AZ67" i="4"/>
  <c r="BC67" i="4" s="1"/>
  <c r="BE40" i="4"/>
  <c r="E60" i="4"/>
  <c r="E55" i="4"/>
  <c r="D66" i="4"/>
  <c r="F56" i="4"/>
  <c r="D60" i="4"/>
  <c r="F22" i="4"/>
  <c r="F67" i="4"/>
  <c r="E74" i="4"/>
  <c r="E8" i="4"/>
  <c r="F45" i="4"/>
  <c r="E66" i="4"/>
  <c r="D18" i="4"/>
  <c r="F29" i="4"/>
  <c r="F43" i="4"/>
  <c r="F23" i="4"/>
  <c r="D55" i="4"/>
  <c r="AY70" i="4"/>
  <c r="AN66" i="4"/>
  <c r="AY64" i="4"/>
  <c r="AP65" i="4"/>
  <c r="F63" i="4"/>
  <c r="AY58" i="4"/>
  <c r="AW53" i="4"/>
  <c r="AW55" i="4" s="1"/>
  <c r="AP53" i="4"/>
  <c r="F54" i="4"/>
  <c r="E31" i="4"/>
  <c r="AW29" i="4"/>
  <c r="AY29" i="4" s="1"/>
  <c r="F50" i="4"/>
  <c r="F49" i="4"/>
  <c r="F62" i="4"/>
  <c r="AP43" i="4"/>
  <c r="F15" i="4"/>
  <c r="F37" i="4"/>
  <c r="AG43" i="4"/>
  <c r="AW65" i="4"/>
  <c r="AY65" i="4" s="1"/>
  <c r="AZ42" i="4"/>
  <c r="AZ43" i="4" s="1"/>
  <c r="F51" i="4"/>
  <c r="F7" i="4"/>
  <c r="F13" i="4"/>
  <c r="F57" i="4"/>
  <c r="F33" i="4"/>
  <c r="F70" i="4"/>
  <c r="E41" i="4"/>
  <c r="D41" i="4"/>
  <c r="BA64" i="4"/>
  <c r="BD64" i="4" s="1"/>
  <c r="F40" i="4"/>
  <c r="F47" i="4"/>
  <c r="D52" i="4"/>
  <c r="AZ69" i="4"/>
  <c r="BC69" i="4" s="1"/>
  <c r="BE69" i="4" s="1"/>
  <c r="AW69" i="4"/>
  <c r="AY69" i="4" s="1"/>
  <c r="AP56" i="4"/>
  <c r="BA42" i="4"/>
  <c r="AG25" i="4"/>
  <c r="F42" i="4"/>
  <c r="AP42" i="4"/>
  <c r="BA56" i="4"/>
  <c r="AY71" i="4"/>
  <c r="F27" i="4"/>
  <c r="AW42" i="4"/>
  <c r="AW43" i="4" s="1"/>
  <c r="AP69" i="4"/>
  <c r="BC42" i="4"/>
  <c r="F68" i="4"/>
  <c r="F26" i="4"/>
  <c r="F53" i="4"/>
  <c r="AY21" i="4"/>
  <c r="F21" i="4"/>
  <c r="F59" i="4"/>
  <c r="D25" i="4"/>
  <c r="AP64" i="4"/>
  <c r="AX42" i="4"/>
  <c r="AX43" i="4" s="1"/>
  <c r="F12" i="4"/>
  <c r="AW44" i="4"/>
  <c r="AZ46" i="4"/>
  <c r="BC46" i="4" s="1"/>
  <c r="BE46" i="4" s="1"/>
  <c r="AY46" i="4"/>
  <c r="AP46" i="4"/>
  <c r="AG52" i="4"/>
  <c r="AX44" i="4"/>
  <c r="AP44" i="4"/>
  <c r="AO52" i="4"/>
  <c r="F44" i="4"/>
  <c r="E52" i="4"/>
  <c r="BD44" i="4"/>
  <c r="BA52" i="4"/>
  <c r="AN52" i="4"/>
  <c r="AY54" i="4"/>
  <c r="AW38" i="4"/>
  <c r="AY38" i="4" s="1"/>
  <c r="AY49" i="4"/>
  <c r="AX8" i="4"/>
  <c r="AY6" i="4"/>
  <c r="AY7" i="4"/>
  <c r="D31" i="4"/>
  <c r="F20" i="4"/>
  <c r="F11" i="4"/>
  <c r="E25" i="4"/>
  <c r="E18" i="4"/>
  <c r="AY51" i="4"/>
  <c r="AW39" i="4"/>
  <c r="AY39" i="4" s="1"/>
  <c r="AP68" i="4"/>
  <c r="AZ68" i="4"/>
  <c r="AW68" i="4"/>
  <c r="AY68" i="4" s="1"/>
  <c r="BB70" i="4"/>
  <c r="BC70" i="4"/>
  <c r="BE70" i="4" s="1"/>
  <c r="BC72" i="4"/>
  <c r="BE72" i="4" s="1"/>
  <c r="BB72" i="4"/>
  <c r="BE49" i="4"/>
  <c r="F71" i="4"/>
  <c r="AP5" i="4"/>
  <c r="D34" i="4"/>
  <c r="AZ57" i="4"/>
  <c r="AW57" i="4"/>
  <c r="AY57" i="4" s="1"/>
  <c r="BB63" i="4"/>
  <c r="BC63" i="4"/>
  <c r="BE63" i="4" s="1"/>
  <c r="AY63" i="4"/>
  <c r="BB49" i="4"/>
  <c r="AZ45" i="4"/>
  <c r="BC45" i="4" s="1"/>
  <c r="AW45" i="4"/>
  <c r="AY45" i="4" s="1"/>
  <c r="AZ73" i="4"/>
  <c r="AW73" i="4"/>
  <c r="AY73" i="4" s="1"/>
  <c r="BC64" i="4"/>
  <c r="BB51" i="4"/>
  <c r="BC51" i="4"/>
  <c r="BE51" i="4" s="1"/>
  <c r="AP50" i="4"/>
  <c r="AZ50" i="4"/>
  <c r="AW50" i="4"/>
  <c r="AY50" i="4" s="1"/>
  <c r="BC71" i="4"/>
  <c r="BE71" i="4" s="1"/>
  <c r="BB71" i="4"/>
  <c r="BA5" i="4"/>
  <c r="BB5" i="4" s="1"/>
  <c r="AO8" i="4"/>
  <c r="AP59" i="4"/>
  <c r="AW59" i="4"/>
  <c r="AY59" i="4" s="1"/>
  <c r="AZ59" i="4"/>
  <c r="BB44" i="4"/>
  <c r="BC44" i="4"/>
  <c r="AN8" i="4"/>
  <c r="BB48" i="4"/>
  <c r="BC48" i="4"/>
  <c r="BE48" i="4" s="1"/>
  <c r="F19" i="4"/>
  <c r="BC56" i="4"/>
  <c r="AP47" i="4"/>
  <c r="AW47" i="4"/>
  <c r="AY47" i="4" s="1"/>
  <c r="AZ47" i="4"/>
  <c r="F5" i="4"/>
  <c r="D8" i="4"/>
  <c r="F46" i="4"/>
  <c r="BD45" i="4"/>
  <c r="AG41" i="4"/>
  <c r="AP40" i="4"/>
  <c r="BB37" i="4"/>
  <c r="AP35" i="4"/>
  <c r="AP37" i="4"/>
  <c r="AZ38" i="4"/>
  <c r="BB38" i="4" s="1"/>
  <c r="BA35" i="4"/>
  <c r="BD35" i="4" s="1"/>
  <c r="BD41" i="4" s="1"/>
  <c r="BC35" i="4"/>
  <c r="AX40" i="4"/>
  <c r="AY40" i="4" s="1"/>
  <c r="AO41" i="4"/>
  <c r="BE39" i="4"/>
  <c r="BB39" i="4"/>
  <c r="AW37" i="4"/>
  <c r="AY37" i="4" s="1"/>
  <c r="AW35" i="4"/>
  <c r="AY35" i="4" s="1"/>
  <c r="AN41" i="4"/>
  <c r="BB40" i="4"/>
  <c r="AP39" i="4"/>
  <c r="AY36" i="4"/>
  <c r="BD32" i="4"/>
  <c r="BA34" i="4"/>
  <c r="AX34" i="4"/>
  <c r="BB33" i="4"/>
  <c r="BD33" i="4"/>
  <c r="BE33" i="4" s="1"/>
  <c r="AY27" i="4"/>
  <c r="BB26" i="4"/>
  <c r="AG31" i="4"/>
  <c r="BE27" i="4"/>
  <c r="BB27" i="4"/>
  <c r="BD26" i="4"/>
  <c r="BE26" i="4" s="1"/>
  <c r="BB28" i="4"/>
  <c r="BE28" i="4"/>
  <c r="BB29" i="4"/>
  <c r="AX28" i="4"/>
  <c r="AY28" i="4" s="1"/>
  <c r="BA31" i="4"/>
  <c r="AZ30" i="4"/>
  <c r="AW30" i="4"/>
  <c r="AY30" i="4" s="1"/>
  <c r="AP30" i="4"/>
  <c r="AN31" i="4"/>
  <c r="AP26" i="4"/>
  <c r="AO31" i="4"/>
  <c r="AW26" i="4"/>
  <c r="AX26" i="4"/>
  <c r="AP29" i="4"/>
  <c r="AP28" i="4"/>
  <c r="AZ23" i="4"/>
  <c r="BC23" i="4" s="1"/>
  <c r="BE23" i="4" s="1"/>
  <c r="AP23" i="4"/>
  <c r="AY22" i="4"/>
  <c r="AN25" i="4"/>
  <c r="AP25" i="4" s="1"/>
  <c r="AW20" i="4"/>
  <c r="AY20" i="4" s="1"/>
  <c r="AP20" i="4"/>
  <c r="AX25" i="4"/>
  <c r="BB20" i="4"/>
  <c r="BC19" i="4"/>
  <c r="BB19" i="4"/>
  <c r="BC24" i="4"/>
  <c r="BE24" i="4" s="1"/>
  <c r="BB24" i="4"/>
  <c r="BE20" i="4"/>
  <c r="BA25" i="4"/>
  <c r="BD19" i="4"/>
  <c r="AY19" i="4"/>
  <c r="BB22" i="4"/>
  <c r="BD22" i="4"/>
  <c r="BE22" i="4" s="1"/>
  <c r="AN18" i="4"/>
  <c r="AP18" i="4" s="1"/>
  <c r="BB13" i="4"/>
  <c r="AY13" i="4"/>
  <c r="BA9" i="4"/>
  <c r="BD9" i="4" s="1"/>
  <c r="AX9" i="4"/>
  <c r="AX18" i="4" s="1"/>
  <c r="AG18" i="4"/>
  <c r="AW14" i="4"/>
  <c r="AY14" i="4" s="1"/>
  <c r="AP15" i="4"/>
  <c r="AY12" i="4"/>
  <c r="AZ15" i="4"/>
  <c r="BB15" i="4" s="1"/>
  <c r="AP14" i="4"/>
  <c r="AW9" i="4"/>
  <c r="AP9" i="4"/>
  <c r="AY16" i="4"/>
  <c r="AY10" i="4"/>
  <c r="BB11" i="4"/>
  <c r="BC11" i="4"/>
  <c r="BE11" i="4" s="1"/>
  <c r="BE14" i="4"/>
  <c r="BB10" i="4"/>
  <c r="BD10" i="4"/>
  <c r="BE10" i="4" s="1"/>
  <c r="BB14" i="4"/>
  <c r="BE16" i="4"/>
  <c r="AY17" i="4"/>
  <c r="AY11" i="4"/>
  <c r="BC12" i="4"/>
  <c r="BE12" i="4" s="1"/>
  <c r="BB12" i="4"/>
  <c r="BB16" i="4"/>
  <c r="BC5" i="4"/>
  <c r="AP6" i="4"/>
  <c r="AZ6" i="4"/>
  <c r="BC6" i="4" s="1"/>
  <c r="BE6" i="4" s="1"/>
  <c r="AY56" i="4" l="1"/>
  <c r="BD65" i="4"/>
  <c r="BE65" i="4" s="1"/>
  <c r="AW34" i="4"/>
  <c r="BC62" i="4"/>
  <c r="BE62" i="4" s="1"/>
  <c r="BA74" i="4"/>
  <c r="AZ66" i="4"/>
  <c r="AP55" i="4"/>
  <c r="AP66" i="4"/>
  <c r="AG75" i="4"/>
  <c r="AX66" i="4"/>
  <c r="AZ60" i="4"/>
  <c r="F66" i="4"/>
  <c r="BB67" i="4"/>
  <c r="F34" i="4"/>
  <c r="AY53" i="4"/>
  <c r="AY33" i="4"/>
  <c r="AO75" i="4"/>
  <c r="BC53" i="4"/>
  <c r="AZ55" i="4"/>
  <c r="AY55" i="4"/>
  <c r="AZ25" i="4"/>
  <c r="BB25" i="4" s="1"/>
  <c r="AY5" i="4"/>
  <c r="BA55" i="4"/>
  <c r="BD53" i="4"/>
  <c r="BD55" i="4" s="1"/>
  <c r="BE67" i="4"/>
  <c r="AZ74" i="4"/>
  <c r="F8" i="4"/>
  <c r="F60" i="4"/>
  <c r="AZ34" i="4"/>
  <c r="BB34" i="4" s="1"/>
  <c r="BC32" i="4"/>
  <c r="BC34" i="4" s="1"/>
  <c r="F55" i="4"/>
  <c r="AW60" i="4"/>
  <c r="AY60" i="4" s="1"/>
  <c r="AW74" i="4"/>
  <c r="AY74" i="4" s="1"/>
  <c r="AN75" i="4"/>
  <c r="AW66" i="4"/>
  <c r="AY66" i="4" s="1"/>
  <c r="AY67" i="4"/>
  <c r="E75" i="4"/>
  <c r="BB53" i="4"/>
  <c r="F41" i="4"/>
  <c r="D75" i="4"/>
  <c r="BD56" i="4"/>
  <c r="BD60" i="4" s="1"/>
  <c r="BA60" i="4"/>
  <c r="F52" i="4"/>
  <c r="F25" i="4"/>
  <c r="F31" i="4"/>
  <c r="F74" i="4"/>
  <c r="BB69" i="4"/>
  <c r="BA66" i="4"/>
  <c r="BD66" i="4"/>
  <c r="BE64" i="4"/>
  <c r="BB56" i="4"/>
  <c r="BB23" i="4"/>
  <c r="AY43" i="4"/>
  <c r="F18" i="4"/>
  <c r="AY42" i="4"/>
  <c r="AZ8" i="4"/>
  <c r="BB46" i="4"/>
  <c r="BD42" i="4"/>
  <c r="BD43" i="4" s="1"/>
  <c r="BA43" i="4"/>
  <c r="BB43" i="4" s="1"/>
  <c r="BB64" i="4"/>
  <c r="BC43" i="4"/>
  <c r="BB42" i="4"/>
  <c r="AY44" i="4"/>
  <c r="BD52" i="4"/>
  <c r="AP52" i="4"/>
  <c r="AX52" i="4"/>
  <c r="BE44" i="4"/>
  <c r="AZ52" i="4"/>
  <c r="BB52" i="4" s="1"/>
  <c r="AW52" i="4"/>
  <c r="AW25" i="4"/>
  <c r="AY25" i="4" s="1"/>
  <c r="BB6" i="4"/>
  <c r="AY8" i="4"/>
  <c r="AZ41" i="4"/>
  <c r="BC47" i="4"/>
  <c r="BE47" i="4" s="1"/>
  <c r="BB47" i="4"/>
  <c r="BD5" i="4"/>
  <c r="BD8" i="4" s="1"/>
  <c r="BA8" i="4"/>
  <c r="BB68" i="4"/>
  <c r="BC68" i="4"/>
  <c r="BE68" i="4" s="1"/>
  <c r="BB57" i="4"/>
  <c r="BC57" i="4"/>
  <c r="BE57" i="4" s="1"/>
  <c r="BC59" i="4"/>
  <c r="BE59" i="4" s="1"/>
  <c r="BB59" i="4"/>
  <c r="AY34" i="4"/>
  <c r="BB45" i="4"/>
  <c r="AP8" i="4"/>
  <c r="BB50" i="4"/>
  <c r="BC50" i="4"/>
  <c r="BE50" i="4" s="1"/>
  <c r="BB73" i="4"/>
  <c r="BC73" i="4"/>
  <c r="BE73" i="4" s="1"/>
  <c r="BE45" i="4"/>
  <c r="BC8" i="4"/>
  <c r="BC38" i="4"/>
  <c r="BE38" i="4" s="1"/>
  <c r="AP41" i="4"/>
  <c r="BA41" i="4"/>
  <c r="BB35" i="4"/>
  <c r="AX41" i="4"/>
  <c r="AW41" i="4"/>
  <c r="BE35" i="4"/>
  <c r="BD34" i="4"/>
  <c r="AX31" i="4"/>
  <c r="AY26" i="4"/>
  <c r="AY31" i="4" s="1"/>
  <c r="AP31" i="4"/>
  <c r="BD31" i="4"/>
  <c r="AW31" i="4"/>
  <c r="BC30" i="4"/>
  <c r="BB30" i="4"/>
  <c r="BB31" i="4" s="1"/>
  <c r="AZ31" i="4"/>
  <c r="BD25" i="4"/>
  <c r="BC25" i="4"/>
  <c r="BE19" i="4"/>
  <c r="AZ18" i="4"/>
  <c r="AW18" i="4"/>
  <c r="AY18" i="4" s="1"/>
  <c r="AY9" i="4"/>
  <c r="BA18" i="4"/>
  <c r="BB9" i="4"/>
  <c r="BC15" i="4"/>
  <c r="BE15" i="4" s="1"/>
  <c r="BD18" i="4"/>
  <c r="BE9" i="4"/>
  <c r="AN77" i="4" l="1"/>
  <c r="BB66" i="4"/>
  <c r="BB74" i="4"/>
  <c r="BE56" i="4"/>
  <c r="AP75" i="4"/>
  <c r="F75" i="4"/>
  <c r="BB8" i="4"/>
  <c r="AX75" i="4"/>
  <c r="AW75" i="4"/>
  <c r="AY75" i="4" s="1"/>
  <c r="AZ75" i="4"/>
  <c r="BE5" i="4"/>
  <c r="BD75" i="4"/>
  <c r="BB55" i="4"/>
  <c r="BC74" i="4"/>
  <c r="BE74" i="4" s="1"/>
  <c r="BE32" i="4"/>
  <c r="BC55" i="4"/>
  <c r="BE55" i="4" s="1"/>
  <c r="BE53" i="4"/>
  <c r="BC60" i="4"/>
  <c r="BE60" i="4" s="1"/>
  <c r="BE34" i="4"/>
  <c r="BA75" i="4"/>
  <c r="BB60" i="4"/>
  <c r="BC66" i="4"/>
  <c r="BE66" i="4" s="1"/>
  <c r="BE42" i="4"/>
  <c r="BC18" i="4"/>
  <c r="BE18" i="4" s="1"/>
  <c r="BB41" i="4"/>
  <c r="BE43" i="4"/>
  <c r="BC52" i="4"/>
  <c r="AY52" i="4"/>
  <c r="BE52" i="4"/>
  <c r="BE8" i="4"/>
  <c r="AY41" i="4"/>
  <c r="BC41" i="4"/>
  <c r="BE30" i="4"/>
  <c r="BE31" i="4" s="1"/>
  <c r="BC31" i="4"/>
  <c r="BE25" i="4"/>
  <c r="BB18" i="4"/>
  <c r="BB75" i="4" l="1"/>
  <c r="BE41" i="4"/>
  <c r="BC75" i="4"/>
  <c r="BE75" i="4" s="1"/>
</calcChain>
</file>

<file path=xl/sharedStrings.xml><?xml version="1.0" encoding="utf-8"?>
<sst xmlns="http://schemas.openxmlformats.org/spreadsheetml/2006/main" count="236" uniqueCount="117">
  <si>
    <t>Y/E</t>
  </si>
  <si>
    <t>Personal Related Expenses (LKR 000)</t>
  </si>
  <si>
    <t>Admin &amp; Establishment Expenses (LKR 000)</t>
  </si>
  <si>
    <t>Selling &amp; Distribution Expenses (LKR 000)</t>
  </si>
  <si>
    <t>Finance Expenses (LKR 000)</t>
  </si>
  <si>
    <t>Depreciation (LKR 000)</t>
  </si>
  <si>
    <t>Total Overheads (LKR 000)</t>
  </si>
  <si>
    <t>EBIT</t>
  </si>
  <si>
    <t>EBITDA</t>
  </si>
  <si>
    <t>Mar</t>
  </si>
  <si>
    <t>Dec</t>
  </si>
  <si>
    <t>Total</t>
  </si>
  <si>
    <t>Ship Supp &amp; Services</t>
  </si>
  <si>
    <t>IOS - Chandling</t>
  </si>
  <si>
    <t>IOS - Survey</t>
  </si>
  <si>
    <t>IOS - Technical</t>
  </si>
  <si>
    <t>AMOS</t>
  </si>
  <si>
    <t>CTL</t>
  </si>
  <si>
    <t>IOMA</t>
  </si>
  <si>
    <t>IOSM</t>
  </si>
  <si>
    <t>IOLL</t>
  </si>
  <si>
    <t>WOSS</t>
  </si>
  <si>
    <t>SS + Logistics</t>
  </si>
  <si>
    <t>Swift Shipping</t>
  </si>
  <si>
    <t>United Maritime</t>
  </si>
  <si>
    <t>Shermans</t>
  </si>
  <si>
    <t>MOL</t>
  </si>
  <si>
    <t>CHR</t>
  </si>
  <si>
    <t>MMA</t>
  </si>
  <si>
    <t>GAC Shipping Ltd</t>
  </si>
  <si>
    <t>GAC Marine Service Pvt Ltd</t>
  </si>
  <si>
    <t>GAC Tug</t>
  </si>
  <si>
    <t>Mclarens Shipping Ltd</t>
  </si>
  <si>
    <t>GAC Logistics/McOcean Logistics Pvt Ltd</t>
  </si>
  <si>
    <t>March</t>
  </si>
  <si>
    <t>SPL</t>
  </si>
  <si>
    <t>SPIL - Depot Only</t>
  </si>
  <si>
    <t>Provisions (LKR 000)</t>
  </si>
  <si>
    <t>IOE</t>
  </si>
  <si>
    <t>MCM</t>
  </si>
  <si>
    <t>CBSL</t>
  </si>
  <si>
    <t>LS</t>
  </si>
  <si>
    <t>OLBS</t>
  </si>
  <si>
    <t>MAYA</t>
  </si>
  <si>
    <t>May 2025
 (In 000s)</t>
  </si>
  <si>
    <t>Exchange Loss / (Gain)</t>
  </si>
  <si>
    <t>Act</t>
  </si>
  <si>
    <t>Bud</t>
  </si>
  <si>
    <t>Var</t>
  </si>
  <si>
    <t>Hotel</t>
  </si>
  <si>
    <t>Non Ops Expenses</t>
  </si>
  <si>
    <t>Non Ops Income</t>
  </si>
  <si>
    <t>Property</t>
  </si>
  <si>
    <t>McLarens Automotive (Pvt) Ltd</t>
  </si>
  <si>
    <t>reversal of Hanjin income Rs. 45k + decrease in income from utility reim. Rs. 40k + unbudgeted deprn cost of Rs. 48k.</t>
  </si>
  <si>
    <t>McOcean Property Developers (Pvt) Ltd</t>
  </si>
  <si>
    <t>reduction in MSC rate per sq.ft by Rs. 10 per sq.ft(from Dec 24) + reduction in maint.cost against the budget.</t>
  </si>
  <si>
    <t>United Shipping Agencies  (Pvt) Ltd</t>
  </si>
  <si>
    <t>Pending salary cost reim from MOPD</t>
  </si>
  <si>
    <t>McLarens Developers (Pvt) Ltd</t>
  </si>
  <si>
    <t>Pending IOS invoicing of Rs. 160k per month and discontinuation of GAC income Rs. 20k per month.</t>
  </si>
  <si>
    <t>Mac Group International (Pvt) Ltd</t>
  </si>
  <si>
    <t>Almost in line with the budget</t>
  </si>
  <si>
    <t>M G Logistics (Pvt) Ltd</t>
  </si>
  <si>
    <t>Shipping Agenchy House ( Pvt ) Ltd</t>
  </si>
  <si>
    <t>clasification change in expense reimbusrments resulted in significant deviation in revenue and overheads. Apart from classifcation impact increase in maintanance cost(AC repair) against budget has negatibve impact on PBT</t>
  </si>
  <si>
    <t>Galle Agenchy House</t>
  </si>
  <si>
    <t>decrease in maint. Cost against the budgert</t>
  </si>
  <si>
    <t>Startegic Invetsments</t>
  </si>
  <si>
    <t>Silk Route Foods (Pvt) Ltd</t>
  </si>
  <si>
    <t xml:space="preserve">McLarens Group Management Ltd </t>
  </si>
  <si>
    <t>Manufacturing Cluster</t>
  </si>
  <si>
    <t>Macbertan (Pvt) Ltd</t>
  </si>
  <si>
    <t>Macbertan Holdings (Pvt) Ltd</t>
  </si>
  <si>
    <t>Pidilite Lanka (Pvt) Ltd</t>
  </si>
  <si>
    <t>Yantrataksan Technologies (Pvt) Ltd</t>
  </si>
  <si>
    <t>Liner Cluster</t>
  </si>
  <si>
    <t>ONE</t>
  </si>
  <si>
    <t>UMI</t>
  </si>
  <si>
    <t>MSC</t>
  </si>
  <si>
    <t>Month of May 2025</t>
  </si>
  <si>
    <t>Monthly avg Ex rate</t>
  </si>
  <si>
    <t>GAC Cluster</t>
  </si>
  <si>
    <t>Spectra Cluster</t>
  </si>
  <si>
    <t>Bunkering &amp; Renewable Energy</t>
  </si>
  <si>
    <t>GP(LKR 000)</t>
  </si>
  <si>
    <t>Revenue(LKR 000)</t>
  </si>
  <si>
    <t>Lubricant Cluster 1</t>
  </si>
  <si>
    <t>Mckupler</t>
  </si>
  <si>
    <t>Achieved only 57% of the targeted volume and revenue achievement stands at 51%. The actual  GP margin is 21% compared to the budget of 25%, resulting in a NPBT loss of LKR 47 Mn</t>
  </si>
  <si>
    <t>MLL- Industrial</t>
  </si>
  <si>
    <t>In May 2025, MLL-IND achieved 71% of its volume target, with the Industrial segment performing strongly at 126% and the Marine segment underperforming at 42%. Revenue stood at 57% of the budget, impacted by the sale of 44,000L of Vacuoline 525 to Ferentino at duty-free pricing, whereas the budget assumed duty-paid pricing. The actual gross profit margin, excluding exchange impact, matched the budgeted 26%, but increased to 28% after accounting for exchange gains from USD account revaluation. Overheads exceeded the budget by Rs. 2.1 million, mainly due to increased finance costs. The Industrial division reported a net profit of Rs. 11 million.</t>
  </si>
  <si>
    <t>MLL- Automotive</t>
  </si>
  <si>
    <t xml:space="preserve">Achieved 99.75% of its volume target, This sales volume indicates a mixed performance across segments. While FCD and Lockheed segments performed well against the budget, Fleet and showroom segments underperformed. Further, Lockheed volumes increased by 7%, while Mobil volumes were below the budget by 1%. Overall, the company achieved 96% of its revenue target for the month of May. In terms of gross profit, Mobil GP was below the budget by 11%, primarily due to the drop in volume &amp; revenue in fleet &amp; showroom whilst the retail division product mix resulted in GP erosion. The overall overhead costs have experienced an unfavorable variance of 2.7Mn. This over-expenditure was primarily driven by significant overruns in the finance expenses and distribution expenses categories. </t>
  </si>
  <si>
    <t>3M</t>
  </si>
  <si>
    <t>The BU recorded a total revenue of Rs. 80.2 Mn for the month, achieving 90% of the budgeted target of Rs. 89.2 Mn. This performance reflects strong contributions from Automotive divisions with the boost in Automotive sector in the country. The GP Margin of 34% (budget 37%) was recorded for the month achieving 83% of the budget (Rs.28.2 Mn after SSCL &amp; exchange gains), The drop in GP is primarily attributable to the increased duty arising from the HS code change on crystalline rolls (in CSD AUTO Division). Reported a NPBT of Rs. 5.1 Mn before non-KPI expenses, following the reversals of the provision for inventory and debtors, achieving a 6% NP margin</t>
  </si>
  <si>
    <t>Mcshaw Automotive</t>
  </si>
  <si>
    <t>Accounts pending</t>
  </si>
  <si>
    <t>Lubricant Cluster 2</t>
  </si>
  <si>
    <t>Interocean Lubricants</t>
  </si>
  <si>
    <t>Volume achievement stands at 84%, while revenue achievement is only 80%. The actual GP margin is 25% against the budgeted 29%, mainly due to the Rs. 1/liter price reduction, which caused the margin drop, although the CoS achievement is at 84%. Overheads remain within the budget</t>
  </si>
  <si>
    <t>Carplan</t>
  </si>
  <si>
    <t>Volume achievement stands at 98.1%. The actual gross profit (GP) margin is 16.5%, exceeding the budgeted margin of 15.1%. Overheads remain within budget, and the net profit (NP) ratio reflects a positive variance of 1.6%</t>
  </si>
  <si>
    <t>Elan Lubricants</t>
  </si>
  <si>
    <t>Volume achievement is 35%, and the actual gross profit (GP) margin is 19% compared to the budgeted 22%. Despite lower volume and GP margins, the company ended the month with a lower loss than budgeted, primarily due to savings in overheads (OHs)</t>
  </si>
  <si>
    <t>Esna Distributors</t>
  </si>
  <si>
    <t>Elan Holdings</t>
  </si>
  <si>
    <t>Holding company of Elan Lubricants</t>
  </si>
  <si>
    <t>Sea World</t>
  </si>
  <si>
    <t>License holder of CPL</t>
  </si>
  <si>
    <t>Energy Core Lanka (Pvt) Ltd (previously known as McLaren Services (Pvt) Ltd)</t>
  </si>
  <si>
    <t>No operations started</t>
  </si>
  <si>
    <t>Other income (000 LKR)</t>
  </si>
  <si>
    <t>Revenue(USD 000)</t>
  </si>
  <si>
    <t>Grand Total</t>
  </si>
  <si>
    <t>PBT Before Non Ops  (LKR 000)</t>
  </si>
  <si>
    <t>PBT After Non Ops  (LKR 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</si>
</sst>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002060"/>
      <name val="Calibri"/>
      <family val="2"/>
    </font>
    <font>
      <sz val="10"/>
      <color rgb="FF002060"/>
      <name val="Calibri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3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4" fillId="0" borderId="1" xfId="1" applyNumberFormat="1" applyFont="1" applyFill="1" applyBorder="1" applyAlignment="1">
      <alignment vertical="center"/>
    </xf>
    <xf numFmtId="164" fontId="4" fillId="0" borderId="0" xfId="1" applyNumberFormat="1" applyFont="1" applyAlignment="1">
      <alignment vertical="center"/>
    </xf>
    <xf numFmtId="164" fontId="4" fillId="0" borderId="0" xfId="1" applyNumberFormat="1" applyFont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164" fontId="2" fillId="0" borderId="0" xfId="1" applyNumberFormat="1" applyFont="1"/>
    <xf numFmtId="164" fontId="3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vertical="center"/>
    </xf>
    <xf numFmtId="164" fontId="3" fillId="4" borderId="6" xfId="1" applyNumberFormat="1" applyFont="1" applyFill="1" applyBorder="1" applyAlignment="1">
      <alignment vertical="center" textRotation="90" wrapText="1"/>
    </xf>
    <xf numFmtId="164" fontId="4" fillId="0" borderId="1" xfId="1" applyNumberFormat="1" applyFont="1" applyBorder="1" applyAlignment="1">
      <alignment horizontal="left" vertical="center"/>
    </xf>
    <xf numFmtId="164" fontId="4" fillId="0" borderId="1" xfId="1" applyNumberFormat="1" applyFont="1" applyBorder="1" applyAlignment="1">
      <alignment horizontal="left" vertical="top" wrapText="1"/>
    </xf>
    <xf numFmtId="164" fontId="2" fillId="0" borderId="1" xfId="1" applyNumberFormat="1" applyFont="1" applyBorder="1"/>
    <xf numFmtId="164" fontId="4" fillId="0" borderId="0" xfId="1" applyNumberFormat="1" applyFont="1"/>
    <xf numFmtId="164" fontId="3" fillId="0" borderId="0" xfId="1" applyNumberFormat="1" applyFont="1" applyAlignment="1">
      <alignment horizontal="center" vertical="center"/>
    </xf>
    <xf numFmtId="164" fontId="4" fillId="0" borderId="1" xfId="1" applyNumberFormat="1" applyFont="1" applyBorder="1"/>
    <xf numFmtId="164" fontId="3" fillId="3" borderId="1" xfId="1" applyNumberFormat="1" applyFont="1" applyFill="1" applyBorder="1"/>
    <xf numFmtId="164" fontId="3" fillId="3" borderId="1" xfId="1" applyNumberFormat="1" applyFont="1" applyFill="1" applyBorder="1" applyAlignment="1">
      <alignment vertical="center"/>
    </xf>
    <xf numFmtId="164" fontId="3" fillId="0" borderId="0" xfId="1" applyNumberFormat="1" applyFont="1"/>
    <xf numFmtId="164" fontId="3" fillId="0" borderId="0" xfId="1" applyNumberFormat="1" applyFont="1" applyFill="1"/>
    <xf numFmtId="164" fontId="3" fillId="0" borderId="0" xfId="1" applyNumberFormat="1" applyFont="1" applyAlignment="1">
      <alignment vertical="center"/>
    </xf>
    <xf numFmtId="164" fontId="3" fillId="0" borderId="0" xfId="1" applyNumberFormat="1" applyFont="1" applyBorder="1" applyAlignment="1">
      <alignment vertical="center"/>
    </xf>
    <xf numFmtId="164" fontId="3" fillId="4" borderId="1" xfId="1" applyNumberFormat="1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9" fontId="3" fillId="0" borderId="0" xfId="2" applyFont="1"/>
    <xf numFmtId="3" fontId="4" fillId="3" borderId="1" xfId="0" applyNumberFormat="1" applyFont="1" applyFill="1" applyBorder="1" applyAlignment="1">
      <alignment horizontal="left" vertical="top" wrapText="1"/>
    </xf>
    <xf numFmtId="164" fontId="3" fillId="7" borderId="1" xfId="1" applyNumberFormat="1" applyFont="1" applyFill="1" applyBorder="1" applyAlignment="1">
      <alignment horizontal="center" vertical="center"/>
    </xf>
    <xf numFmtId="164" fontId="3" fillId="3" borderId="12" xfId="1" applyNumberFormat="1" applyFont="1" applyFill="1" applyBorder="1" applyAlignment="1">
      <alignment horizontal="center" vertical="center"/>
    </xf>
    <xf numFmtId="164" fontId="3" fillId="3" borderId="13" xfId="1" applyNumberFormat="1" applyFont="1" applyFill="1" applyBorder="1" applyAlignment="1">
      <alignment horizontal="center" vertical="center"/>
    </xf>
    <xf numFmtId="164" fontId="3" fillId="3" borderId="14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 textRotation="90" wrapText="1"/>
    </xf>
    <xf numFmtId="164" fontId="3" fillId="4" borderId="8" xfId="1" applyNumberFormat="1" applyFont="1" applyFill="1" applyBorder="1" applyAlignment="1">
      <alignment horizontal="center" vertical="center" textRotation="90" wrapText="1"/>
    </xf>
    <xf numFmtId="164" fontId="3" fillId="3" borderId="2" xfId="1" applyNumberFormat="1" applyFont="1" applyFill="1" applyBorder="1" applyAlignment="1">
      <alignment horizontal="center" vertical="center"/>
    </xf>
    <xf numFmtId="164" fontId="3" fillId="3" borderId="4" xfId="1" applyNumberFormat="1" applyFont="1" applyFill="1" applyBorder="1" applyAlignment="1">
      <alignment horizontal="center" vertical="center"/>
    </xf>
    <xf numFmtId="164" fontId="3" fillId="3" borderId="3" xfId="1" applyNumberFormat="1" applyFont="1" applyFill="1" applyBorder="1" applyAlignment="1">
      <alignment horizontal="center" vertical="center"/>
    </xf>
    <xf numFmtId="164" fontId="3" fillId="4" borderId="5" xfId="1" applyNumberFormat="1" applyFont="1" applyFill="1" applyBorder="1" applyAlignment="1">
      <alignment horizontal="center" vertical="center" textRotation="90" wrapText="1"/>
    </xf>
    <xf numFmtId="164" fontId="3" fillId="4" borderId="7" xfId="1" applyNumberFormat="1" applyFont="1" applyFill="1" applyBorder="1" applyAlignment="1">
      <alignment horizontal="center" vertical="center" textRotation="90" wrapText="1"/>
    </xf>
    <xf numFmtId="164" fontId="3" fillId="3" borderId="15" xfId="1" applyNumberFormat="1" applyFont="1" applyFill="1" applyBorder="1" applyAlignment="1">
      <alignment horizontal="center" vertical="center"/>
    </xf>
    <xf numFmtId="164" fontId="3" fillId="3" borderId="16" xfId="1" applyNumberFormat="1" applyFont="1" applyFill="1" applyBorder="1" applyAlignment="1">
      <alignment horizontal="center" vertical="center"/>
    </xf>
    <xf numFmtId="164" fontId="3" fillId="3" borderId="17" xfId="1" applyNumberFormat="1" applyFont="1" applyFill="1" applyBorder="1" applyAlignment="1">
      <alignment horizontal="center" vertical="center"/>
    </xf>
    <xf numFmtId="164" fontId="3" fillId="5" borderId="9" xfId="1" applyNumberFormat="1" applyFont="1" applyFill="1" applyBorder="1" applyAlignment="1">
      <alignment horizontal="center" vertical="center"/>
    </xf>
    <xf numFmtId="164" fontId="3" fillId="5" borderId="10" xfId="1" applyNumberFormat="1" applyFont="1" applyFill="1" applyBorder="1" applyAlignment="1">
      <alignment horizontal="center" vertical="center"/>
    </xf>
    <xf numFmtId="164" fontId="3" fillId="5" borderId="11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DB49-0C9D-4EF0-AAAB-C35FB9D624AD}">
  <dimension ref="A1:BF77"/>
  <sheetViews>
    <sheetView showGridLines="0" tabSelected="1" workbookViewId="0">
      <pane xSplit="3" ySplit="4" topLeftCell="AG5" activePane="bottomRight" state="frozen"/>
      <selection pane="topRight" activeCell="D1" sqref="D1"/>
      <selection pane="bottomLeft" activeCell="A5" sqref="A5"/>
      <selection pane="bottomRight" activeCell="AN77" sqref="AN77"/>
    </sheetView>
  </sheetViews>
  <sheetFormatPr defaultColWidth="8.77734375" defaultRowHeight="15" customHeight="1" outlineLevelCol="1" x14ac:dyDescent="0.3"/>
  <cols>
    <col min="1" max="1" width="15.6640625" style="16" customWidth="1"/>
    <col min="2" max="2" width="6.44140625" style="5" customWidth="1"/>
    <col min="3" max="3" width="38.77734375" style="5" customWidth="1"/>
    <col min="4" max="8" width="11.109375" style="15" customWidth="1"/>
    <col min="9" max="9" width="11.6640625" style="15" bestFit="1" customWidth="1"/>
    <col min="10" max="15" width="11.109375" style="15" customWidth="1"/>
    <col min="16" max="30" width="11.109375" style="15" hidden="1" customWidth="1" outlineLevel="1"/>
    <col min="31" max="31" width="11.109375" style="15" customWidth="1" collapsed="1"/>
    <col min="32" max="42" width="11.109375" style="15" customWidth="1"/>
    <col min="43" max="57" width="11.109375" style="15" hidden="1" customWidth="1"/>
    <col min="58" max="58" width="234" style="5" customWidth="1"/>
    <col min="59" max="16384" width="8.77734375" style="15"/>
  </cols>
  <sheetData>
    <row r="1" spans="1:58" ht="15" customHeight="1" thickBot="1" x14ac:dyDescent="0.35">
      <c r="A1" s="42" t="s">
        <v>80</v>
      </c>
      <c r="B1" s="43"/>
      <c r="C1" s="44"/>
      <c r="D1" s="22" t="s">
        <v>81</v>
      </c>
      <c r="E1" s="22"/>
      <c r="F1" s="23">
        <v>298.531194736842</v>
      </c>
      <c r="G1" s="5"/>
      <c r="H1" s="5"/>
      <c r="I1" s="6"/>
      <c r="J1" s="5"/>
      <c r="K1" s="5"/>
      <c r="L1" s="6"/>
      <c r="M1" s="5"/>
      <c r="N1" s="5"/>
      <c r="O1" s="6"/>
      <c r="P1" s="5"/>
      <c r="Q1" s="5"/>
      <c r="R1" s="6"/>
      <c r="S1" s="5"/>
      <c r="T1" s="5"/>
      <c r="U1" s="6"/>
      <c r="V1" s="5"/>
      <c r="W1" s="5"/>
      <c r="X1" s="6"/>
      <c r="Y1" s="5"/>
      <c r="Z1" s="5"/>
      <c r="AA1" s="6"/>
      <c r="AB1" s="5"/>
      <c r="AC1" s="5"/>
      <c r="AD1" s="6"/>
      <c r="AE1" s="5"/>
      <c r="AF1" s="5"/>
      <c r="AG1" s="6"/>
      <c r="AH1" s="5"/>
      <c r="AI1" s="5"/>
      <c r="AJ1" s="6"/>
      <c r="AK1" s="5"/>
      <c r="AL1" s="5"/>
      <c r="AM1" s="6"/>
      <c r="AN1" s="5"/>
      <c r="AO1" s="5"/>
      <c r="AP1" s="6"/>
      <c r="AQ1" s="5"/>
      <c r="AR1" s="5"/>
      <c r="AS1" s="6"/>
      <c r="AT1" s="5"/>
      <c r="AU1" s="5"/>
      <c r="AV1" s="6"/>
      <c r="AW1" s="5"/>
      <c r="AX1" s="5"/>
      <c r="AY1" s="6"/>
      <c r="AZ1" s="5"/>
      <c r="BA1" s="5"/>
      <c r="BB1" s="6"/>
      <c r="BC1" s="5"/>
      <c r="BD1" s="5"/>
      <c r="BE1" s="6"/>
    </row>
    <row r="2" spans="1:58" ht="15" customHeight="1" x14ac:dyDescent="0.3"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>
        <v>3682.6960140000001</v>
      </c>
      <c r="AC2" s="5">
        <v>6709.7423190833297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</row>
    <row r="3" spans="1:58" ht="15" customHeight="1" x14ac:dyDescent="0.3">
      <c r="A3" s="37" t="s">
        <v>76</v>
      </c>
      <c r="B3" s="45" t="s">
        <v>0</v>
      </c>
      <c r="C3" s="46" t="s">
        <v>44</v>
      </c>
      <c r="D3" s="28" t="s">
        <v>113</v>
      </c>
      <c r="E3" s="28"/>
      <c r="F3" s="28"/>
      <c r="G3" s="28" t="s">
        <v>86</v>
      </c>
      <c r="H3" s="28"/>
      <c r="I3" s="28"/>
      <c r="J3" s="28" t="s">
        <v>85</v>
      </c>
      <c r="K3" s="28"/>
      <c r="L3" s="28"/>
      <c r="M3" s="28" t="s">
        <v>112</v>
      </c>
      <c r="N3" s="28"/>
      <c r="O3" s="28"/>
      <c r="P3" s="28" t="s">
        <v>1</v>
      </c>
      <c r="Q3" s="28"/>
      <c r="R3" s="28"/>
      <c r="S3" s="28" t="s">
        <v>2</v>
      </c>
      <c r="T3" s="28"/>
      <c r="U3" s="28"/>
      <c r="V3" s="28" t="s">
        <v>3</v>
      </c>
      <c r="W3" s="28"/>
      <c r="X3" s="28"/>
      <c r="Y3" s="28" t="s">
        <v>4</v>
      </c>
      <c r="Z3" s="28"/>
      <c r="AA3" s="28"/>
      <c r="AB3" s="28" t="s">
        <v>5</v>
      </c>
      <c r="AC3" s="28"/>
      <c r="AD3" s="28"/>
      <c r="AE3" s="28" t="s">
        <v>6</v>
      </c>
      <c r="AF3" s="28"/>
      <c r="AG3" s="28"/>
      <c r="AH3" s="28" t="s">
        <v>37</v>
      </c>
      <c r="AI3" s="28"/>
      <c r="AJ3" s="28"/>
      <c r="AK3" s="28" t="s">
        <v>45</v>
      </c>
      <c r="AL3" s="28"/>
      <c r="AM3" s="28"/>
      <c r="AN3" s="28" t="s">
        <v>115</v>
      </c>
      <c r="AO3" s="28"/>
      <c r="AP3" s="28"/>
      <c r="AQ3" s="28" t="s">
        <v>50</v>
      </c>
      <c r="AR3" s="28"/>
      <c r="AS3" s="28"/>
      <c r="AT3" s="28" t="s">
        <v>51</v>
      </c>
      <c r="AU3" s="28"/>
      <c r="AV3" s="28"/>
      <c r="AW3" s="28" t="s">
        <v>116</v>
      </c>
      <c r="AX3" s="28"/>
      <c r="AY3" s="28"/>
      <c r="AZ3" s="28" t="s">
        <v>7</v>
      </c>
      <c r="BA3" s="28"/>
      <c r="BB3" s="28"/>
      <c r="BC3" s="28" t="s">
        <v>8</v>
      </c>
      <c r="BD3" s="28"/>
      <c r="BE3" s="28"/>
    </row>
    <row r="4" spans="1:58" ht="15" customHeight="1" x14ac:dyDescent="0.3">
      <c r="A4" s="32"/>
      <c r="B4" s="45"/>
      <c r="C4" s="46"/>
      <c r="D4" s="24" t="s">
        <v>46</v>
      </c>
      <c r="E4" s="25" t="s">
        <v>47</v>
      </c>
      <c r="F4" s="9" t="s">
        <v>48</v>
      </c>
      <c r="G4" s="24" t="s">
        <v>46</v>
      </c>
      <c r="H4" s="25" t="s">
        <v>47</v>
      </c>
      <c r="I4" s="9" t="s">
        <v>48</v>
      </c>
      <c r="J4" s="24" t="s">
        <v>46</v>
      </c>
      <c r="K4" s="25" t="s">
        <v>47</v>
      </c>
      <c r="L4" s="9" t="s">
        <v>48</v>
      </c>
      <c r="M4" s="24" t="s">
        <v>46</v>
      </c>
      <c r="N4" s="25" t="s">
        <v>47</v>
      </c>
      <c r="O4" s="9" t="s">
        <v>48</v>
      </c>
      <c r="P4" s="24" t="s">
        <v>46</v>
      </c>
      <c r="Q4" s="25" t="s">
        <v>47</v>
      </c>
      <c r="R4" s="9" t="s">
        <v>48</v>
      </c>
      <c r="S4" s="24" t="s">
        <v>46</v>
      </c>
      <c r="T4" s="25" t="s">
        <v>47</v>
      </c>
      <c r="U4" s="9" t="s">
        <v>48</v>
      </c>
      <c r="V4" s="24" t="s">
        <v>46</v>
      </c>
      <c r="W4" s="25" t="s">
        <v>47</v>
      </c>
      <c r="X4" s="9" t="s">
        <v>48</v>
      </c>
      <c r="Y4" s="24" t="s">
        <v>46</v>
      </c>
      <c r="Z4" s="25" t="s">
        <v>47</v>
      </c>
      <c r="AA4" s="9" t="s">
        <v>48</v>
      </c>
      <c r="AB4" s="24" t="s">
        <v>46</v>
      </c>
      <c r="AC4" s="25" t="s">
        <v>47</v>
      </c>
      <c r="AD4" s="9" t="s">
        <v>48</v>
      </c>
      <c r="AE4" s="24" t="s">
        <v>46</v>
      </c>
      <c r="AF4" s="25" t="s">
        <v>47</v>
      </c>
      <c r="AG4" s="9" t="s">
        <v>48</v>
      </c>
      <c r="AH4" s="24" t="s">
        <v>46</v>
      </c>
      <c r="AI4" s="25" t="s">
        <v>47</v>
      </c>
      <c r="AJ4" s="9" t="s">
        <v>48</v>
      </c>
      <c r="AK4" s="24" t="s">
        <v>46</v>
      </c>
      <c r="AL4" s="25" t="s">
        <v>47</v>
      </c>
      <c r="AM4" s="9" t="s">
        <v>48</v>
      </c>
      <c r="AN4" s="24" t="s">
        <v>46</v>
      </c>
      <c r="AO4" s="25" t="s">
        <v>47</v>
      </c>
      <c r="AP4" s="9" t="s">
        <v>48</v>
      </c>
      <c r="AQ4" s="24" t="s">
        <v>46</v>
      </c>
      <c r="AR4" s="25" t="s">
        <v>47</v>
      </c>
      <c r="AS4" s="9" t="s">
        <v>48</v>
      </c>
      <c r="AT4" s="24" t="s">
        <v>46</v>
      </c>
      <c r="AU4" s="25" t="s">
        <v>47</v>
      </c>
      <c r="AV4" s="9" t="s">
        <v>48</v>
      </c>
      <c r="AW4" s="24" t="s">
        <v>46</v>
      </c>
      <c r="AX4" s="25" t="s">
        <v>47</v>
      </c>
      <c r="AY4" s="9" t="s">
        <v>48</v>
      </c>
      <c r="AZ4" s="24" t="s">
        <v>46</v>
      </c>
      <c r="BA4" s="25" t="s">
        <v>47</v>
      </c>
      <c r="BB4" s="9" t="s">
        <v>48</v>
      </c>
      <c r="BC4" s="24" t="s">
        <v>46</v>
      </c>
      <c r="BD4" s="25" t="s">
        <v>47</v>
      </c>
      <c r="BE4" s="9" t="s">
        <v>48</v>
      </c>
    </row>
    <row r="5" spans="1:58" ht="15" customHeight="1" x14ac:dyDescent="0.3">
      <c r="A5" s="32"/>
      <c r="B5" s="3" t="s">
        <v>9</v>
      </c>
      <c r="C5" s="3" t="s">
        <v>77</v>
      </c>
      <c r="D5" s="17">
        <f>G5/$F$1</f>
        <v>289.12655548806538</v>
      </c>
      <c r="E5" s="17">
        <f>H5/$F$1</f>
        <v>296.42863308810178</v>
      </c>
      <c r="F5" s="4">
        <f>D5-E5</f>
        <v>-7.3020776000363981</v>
      </c>
      <c r="G5" s="17">
        <v>86313.296040000001</v>
      </c>
      <c r="H5" s="17">
        <v>88493.19399</v>
      </c>
      <c r="I5" s="4">
        <f>G5-H5</f>
        <v>-2179.8979499999987</v>
      </c>
      <c r="J5" s="17">
        <v>85357.796480000005</v>
      </c>
      <c r="K5" s="17">
        <v>87464.520269999994</v>
      </c>
      <c r="L5" s="4">
        <f>J5-K5</f>
        <v>-2106.7237899999891</v>
      </c>
      <c r="M5" s="17">
        <v>856.73283000000004</v>
      </c>
      <c r="N5" s="17">
        <v>141.52964</v>
      </c>
      <c r="O5" s="4">
        <f>M5-N5</f>
        <v>715.20319000000006</v>
      </c>
      <c r="P5" s="17">
        <v>16417.564969999999</v>
      </c>
      <c r="Q5" s="17">
        <v>16541.91934</v>
      </c>
      <c r="R5" s="4">
        <f>P5-Q5</f>
        <v>-124.35437000000093</v>
      </c>
      <c r="S5" s="17">
        <v>1307.7582399999999</v>
      </c>
      <c r="T5" s="17">
        <v>1472.8082399999998</v>
      </c>
      <c r="U5" s="4">
        <f>S5-T5</f>
        <v>-165.04999999999995</v>
      </c>
      <c r="V5" s="17">
        <v>2759.4279500000002</v>
      </c>
      <c r="W5" s="17">
        <v>4783.0510199999999</v>
      </c>
      <c r="X5" s="4">
        <f>V5-W5</f>
        <v>-2023.6230699999996</v>
      </c>
      <c r="Y5" s="17">
        <v>0.25</v>
      </c>
      <c r="Z5" s="17">
        <v>11.691660000000001</v>
      </c>
      <c r="AA5" s="4">
        <f>Y5-Z5</f>
        <v>-11.441660000000001</v>
      </c>
      <c r="AB5" s="17">
        <f>1485.0728</f>
        <v>1485.0727999999999</v>
      </c>
      <c r="AC5" s="17">
        <v>1567.7213599999998</v>
      </c>
      <c r="AD5" s="4">
        <f>AB5-AC5</f>
        <v>-82.648559999999861</v>
      </c>
      <c r="AE5" s="17">
        <f>P5+S5+V5+Y5+AB5</f>
        <v>21970.073960000002</v>
      </c>
      <c r="AF5" s="17">
        <f>Q5+T5+W5+Z5+AC5</f>
        <v>24377.191619999998</v>
      </c>
      <c r="AG5" s="4">
        <f>AE5-AF5</f>
        <v>-2407.1176599999962</v>
      </c>
      <c r="AH5" s="17"/>
      <c r="AI5" s="17"/>
      <c r="AJ5" s="4">
        <f>AH5-AI5</f>
        <v>0</v>
      </c>
      <c r="AK5" s="17">
        <v>-2189.12239</v>
      </c>
      <c r="AL5" s="17">
        <v>0</v>
      </c>
      <c r="AM5" s="4">
        <f>AK5-AL5</f>
        <v>-2189.12239</v>
      </c>
      <c r="AN5" s="17">
        <f>J5+M5-AE5+AH5+AK5</f>
        <v>62055.33296</v>
      </c>
      <c r="AO5" s="17">
        <f>K5+N5-AF5+AI5+AL5</f>
        <v>63228.858289999989</v>
      </c>
      <c r="AP5" s="4">
        <f>AN5-AO5</f>
        <v>-1173.5253299999895</v>
      </c>
      <c r="AQ5" s="17"/>
      <c r="AR5" s="17"/>
      <c r="AS5" s="4">
        <f>AQ5-AR5</f>
        <v>0</v>
      </c>
      <c r="AT5" s="17"/>
      <c r="AU5" s="17"/>
      <c r="AV5" s="4">
        <f>AT5-AU5</f>
        <v>0</v>
      </c>
      <c r="AW5" s="17">
        <f>AN5-AQ5+AT5</f>
        <v>62055.33296</v>
      </c>
      <c r="AX5" s="17">
        <f>AO5-AR5+AU5</f>
        <v>63228.858289999989</v>
      </c>
      <c r="AY5" s="4">
        <f>AW5-AX5</f>
        <v>-1173.5253299999895</v>
      </c>
      <c r="AZ5" s="17">
        <f>AN5+Y5</f>
        <v>62055.58296</v>
      </c>
      <c r="BA5" s="17">
        <f>AO5+Z5</f>
        <v>63240.549949999986</v>
      </c>
      <c r="BB5" s="4">
        <f>AZ5-BA5</f>
        <v>-1184.9669899999863</v>
      </c>
      <c r="BC5" s="17">
        <f>AZ5+AB5</f>
        <v>63540.655760000001</v>
      </c>
      <c r="BD5" s="17">
        <f>BA5+AC5</f>
        <v>64808.271309999989</v>
      </c>
      <c r="BE5" s="4">
        <f>BC5-BD5</f>
        <v>-1267.6155499999877</v>
      </c>
      <c r="BF5" s="7"/>
    </row>
    <row r="6" spans="1:58" ht="15" customHeight="1" x14ac:dyDescent="0.3">
      <c r="A6" s="32"/>
      <c r="B6" s="3" t="s">
        <v>9</v>
      </c>
      <c r="C6" s="3" t="s">
        <v>78</v>
      </c>
      <c r="D6" s="17">
        <f t="shared" ref="D6:E68" si="0">G6/$F$1</f>
        <v>0</v>
      </c>
      <c r="E6" s="17">
        <f t="shared" ref="E6:E68" si="1">H6/$F$1</f>
        <v>0</v>
      </c>
      <c r="F6" s="4">
        <f t="shared" ref="F6:F68" si="2">D6-E6</f>
        <v>0</v>
      </c>
      <c r="G6" s="17"/>
      <c r="H6" s="17"/>
      <c r="I6" s="4">
        <f t="shared" ref="I6:I68" si="3">G6-H6</f>
        <v>0</v>
      </c>
      <c r="J6" s="17"/>
      <c r="K6" s="17"/>
      <c r="L6" s="4">
        <f t="shared" ref="L6:L68" si="4">J6-K6</f>
        <v>0</v>
      </c>
      <c r="M6" s="17">
        <v>19.8184</v>
      </c>
      <c r="N6" s="17">
        <v>49.324589999999993</v>
      </c>
      <c r="O6" s="4">
        <f t="shared" ref="O6:O68" si="5">M6-N6</f>
        <v>-29.506189999999993</v>
      </c>
      <c r="P6" s="17">
        <v>0</v>
      </c>
      <c r="Q6" s="17">
        <v>0</v>
      </c>
      <c r="R6" s="4">
        <f t="shared" ref="R6:R68" si="6">P6-Q6</f>
        <v>0</v>
      </c>
      <c r="S6" s="17">
        <v>63.605019999999996</v>
      </c>
      <c r="T6" s="17">
        <v>41.109160000000003</v>
      </c>
      <c r="U6" s="4">
        <f t="shared" ref="U6:U68" si="7">S6-T6</f>
        <v>22.495859999999993</v>
      </c>
      <c r="V6" s="17">
        <v>0</v>
      </c>
      <c r="W6" s="17">
        <v>0</v>
      </c>
      <c r="X6" s="4">
        <f t="shared" ref="X6:X68" si="8">V6-W6</f>
        <v>0</v>
      </c>
      <c r="Y6" s="17">
        <v>1.3</v>
      </c>
      <c r="Z6" s="17">
        <v>0.58334000000000008</v>
      </c>
      <c r="AA6" s="4">
        <f t="shared" ref="AA6:AA68" si="9">Y6-Z6</f>
        <v>0.71665999999999996</v>
      </c>
      <c r="AB6" s="17">
        <v>0</v>
      </c>
      <c r="AC6" s="17">
        <v>0</v>
      </c>
      <c r="AD6" s="4">
        <f t="shared" ref="AD6:AD68" si="10">AB6-AC6</f>
        <v>0</v>
      </c>
      <c r="AE6" s="17">
        <f t="shared" ref="AE6:AE68" si="11">P6+S6+V6+Y6+AB6</f>
        <v>64.905019999999993</v>
      </c>
      <c r="AF6" s="17">
        <f t="shared" ref="AF6:AF68" si="12">Q6+T6+W6+Z6+AC6</f>
        <v>41.692500000000003</v>
      </c>
      <c r="AG6" s="4">
        <f t="shared" ref="AG6:AG68" si="13">AE6-AF6</f>
        <v>23.212519999999991</v>
      </c>
      <c r="AH6" s="17"/>
      <c r="AI6" s="17"/>
      <c r="AJ6" s="4">
        <f t="shared" ref="AJ6:AJ68" si="14">AH6-AI6</f>
        <v>0</v>
      </c>
      <c r="AK6" s="17"/>
      <c r="AL6" s="17"/>
      <c r="AM6" s="4">
        <f t="shared" ref="AM6:AM68" si="15">AK6-AL6</f>
        <v>0</v>
      </c>
      <c r="AN6" s="17">
        <f t="shared" ref="AN6:AO59" si="16">J6+M6-AE6+AH6+AK6</f>
        <v>-45.086619999999996</v>
      </c>
      <c r="AO6" s="17">
        <f t="shared" ref="AO6:AO68" si="17">K6+N6-AF6+AI6+AL6</f>
        <v>7.6320899999999909</v>
      </c>
      <c r="AP6" s="4">
        <f t="shared" ref="AP6:AP68" si="18">AN6-AO6</f>
        <v>-52.718709999999987</v>
      </c>
      <c r="AQ6" s="17"/>
      <c r="AR6" s="17"/>
      <c r="AS6" s="4">
        <f t="shared" ref="AS6:AS68" si="19">AQ6-AR6</f>
        <v>0</v>
      </c>
      <c r="AT6" s="17"/>
      <c r="AU6" s="17"/>
      <c r="AV6" s="4">
        <f t="shared" ref="AV6:AV68" si="20">AT6-AU6</f>
        <v>0</v>
      </c>
      <c r="AW6" s="17">
        <f t="shared" ref="AW6:AW68" si="21">AN6-AQ6+AT6</f>
        <v>-45.086619999999996</v>
      </c>
      <c r="AX6" s="17">
        <f t="shared" ref="AX6:AX68" si="22">AO6-AR6+AU6</f>
        <v>7.6320899999999909</v>
      </c>
      <c r="AY6" s="4">
        <f t="shared" ref="AY6:AY68" si="23">AW6-AX6</f>
        <v>-52.718709999999987</v>
      </c>
      <c r="AZ6" s="17">
        <f t="shared" ref="AZ6:AZ68" si="24">AN6+Y6</f>
        <v>-43.786619999999999</v>
      </c>
      <c r="BA6" s="17">
        <f t="shared" ref="BA6:BA68" si="25">AO6+Z6</f>
        <v>8.2154299999999907</v>
      </c>
      <c r="BB6" s="4">
        <f t="shared" ref="BB6:BB68" si="26">AZ6-BA6</f>
        <v>-52.00204999999999</v>
      </c>
      <c r="BC6" s="17">
        <f t="shared" ref="BC6:BC68" si="27">AZ6+AB6</f>
        <v>-43.786619999999999</v>
      </c>
      <c r="BD6" s="17">
        <f t="shared" ref="BD6:BD68" si="28">BA6+AC6</f>
        <v>8.2154299999999907</v>
      </c>
      <c r="BE6" s="4">
        <f t="shared" ref="BE6:BE68" si="29">BC6-BD6</f>
        <v>-52.00204999999999</v>
      </c>
      <c r="BF6" s="7"/>
    </row>
    <row r="7" spans="1:58" ht="15" customHeight="1" x14ac:dyDescent="0.3">
      <c r="A7" s="38"/>
      <c r="B7" s="3" t="s">
        <v>9</v>
      </c>
      <c r="C7" s="3" t="s">
        <v>79</v>
      </c>
      <c r="D7" s="17">
        <f t="shared" si="0"/>
        <v>0</v>
      </c>
      <c r="E7" s="17">
        <f t="shared" si="1"/>
        <v>0</v>
      </c>
      <c r="F7" s="4">
        <f t="shared" si="2"/>
        <v>0</v>
      </c>
      <c r="G7" s="17"/>
      <c r="H7" s="17"/>
      <c r="I7" s="4">
        <f t="shared" si="3"/>
        <v>0</v>
      </c>
      <c r="J7" s="17"/>
      <c r="K7" s="17"/>
      <c r="L7" s="4">
        <f t="shared" si="4"/>
        <v>0</v>
      </c>
      <c r="M7" s="17"/>
      <c r="N7" s="17"/>
      <c r="O7" s="4">
        <f t="shared" si="5"/>
        <v>0</v>
      </c>
      <c r="P7" s="17"/>
      <c r="Q7" s="17"/>
      <c r="R7" s="4">
        <f t="shared" si="6"/>
        <v>0</v>
      </c>
      <c r="S7" s="17"/>
      <c r="T7" s="17"/>
      <c r="U7" s="4">
        <f t="shared" si="7"/>
        <v>0</v>
      </c>
      <c r="V7" s="17"/>
      <c r="W7" s="17"/>
      <c r="X7" s="4">
        <f t="shared" si="8"/>
        <v>0</v>
      </c>
      <c r="Y7" s="17"/>
      <c r="Z7" s="17"/>
      <c r="AA7" s="4">
        <f t="shared" si="9"/>
        <v>0</v>
      </c>
      <c r="AB7" s="17"/>
      <c r="AC7" s="17"/>
      <c r="AD7" s="4">
        <f t="shared" si="10"/>
        <v>0</v>
      </c>
      <c r="AE7" s="17">
        <f t="shared" si="11"/>
        <v>0</v>
      </c>
      <c r="AF7" s="17">
        <f t="shared" si="12"/>
        <v>0</v>
      </c>
      <c r="AG7" s="4">
        <f t="shared" si="13"/>
        <v>0</v>
      </c>
      <c r="AH7" s="17"/>
      <c r="AI7" s="17"/>
      <c r="AJ7" s="4">
        <f t="shared" si="14"/>
        <v>0</v>
      </c>
      <c r="AK7" s="17"/>
      <c r="AL7" s="17"/>
      <c r="AM7" s="4">
        <f t="shared" si="15"/>
        <v>0</v>
      </c>
      <c r="AN7" s="17">
        <f t="shared" si="16"/>
        <v>0</v>
      </c>
      <c r="AO7" s="17">
        <f t="shared" si="17"/>
        <v>0</v>
      </c>
      <c r="AP7" s="4">
        <f t="shared" si="18"/>
        <v>0</v>
      </c>
      <c r="AQ7" s="17"/>
      <c r="AR7" s="17"/>
      <c r="AS7" s="4">
        <f t="shared" si="19"/>
        <v>0</v>
      </c>
      <c r="AT7" s="17"/>
      <c r="AU7" s="17"/>
      <c r="AV7" s="4">
        <f t="shared" si="20"/>
        <v>0</v>
      </c>
      <c r="AW7" s="17">
        <f t="shared" si="21"/>
        <v>0</v>
      </c>
      <c r="AX7" s="17">
        <f t="shared" si="22"/>
        <v>0</v>
      </c>
      <c r="AY7" s="4">
        <f t="shared" si="23"/>
        <v>0</v>
      </c>
      <c r="AZ7" s="17">
        <f t="shared" si="24"/>
        <v>0</v>
      </c>
      <c r="BA7" s="17">
        <f t="shared" si="25"/>
        <v>0</v>
      </c>
      <c r="BB7" s="4">
        <f t="shared" si="26"/>
        <v>0</v>
      </c>
      <c r="BC7" s="17">
        <f t="shared" si="27"/>
        <v>0</v>
      </c>
      <c r="BD7" s="17">
        <f t="shared" si="28"/>
        <v>0</v>
      </c>
      <c r="BE7" s="4">
        <f t="shared" si="29"/>
        <v>0</v>
      </c>
      <c r="BF7" s="7"/>
    </row>
    <row r="8" spans="1:58" s="20" customFormat="1" ht="15" customHeight="1" x14ac:dyDescent="0.3">
      <c r="A8" s="34" t="s">
        <v>11</v>
      </c>
      <c r="B8" s="35"/>
      <c r="C8" s="36"/>
      <c r="D8" s="18">
        <f>SUM(D5:D7)</f>
        <v>289.12655548806538</v>
      </c>
      <c r="E8" s="18">
        <f>SUM(E5:E7)</f>
        <v>296.42863308810178</v>
      </c>
      <c r="F8" s="19">
        <f>D8-E8</f>
        <v>-7.3020776000363981</v>
      </c>
      <c r="G8" s="18">
        <f t="shared" ref="G8:H8" si="30">SUM(G5:G7)</f>
        <v>86313.296040000001</v>
      </c>
      <c r="H8" s="18">
        <f t="shared" si="30"/>
        <v>88493.19399</v>
      </c>
      <c r="I8" s="19">
        <f t="shared" si="3"/>
        <v>-2179.8979499999987</v>
      </c>
      <c r="J8" s="18">
        <f t="shared" ref="J8:K8" si="31">SUM(J5:J7)</f>
        <v>85357.796480000005</v>
      </c>
      <c r="K8" s="18">
        <f t="shared" si="31"/>
        <v>87464.520269999994</v>
      </c>
      <c r="L8" s="19">
        <f t="shared" si="4"/>
        <v>-2106.7237899999891</v>
      </c>
      <c r="M8" s="18">
        <f t="shared" ref="M8:N8" si="32">SUM(M5:M7)</f>
        <v>876.55123000000003</v>
      </c>
      <c r="N8" s="18">
        <f t="shared" si="32"/>
        <v>190.85423</v>
      </c>
      <c r="O8" s="19">
        <f t="shared" si="5"/>
        <v>685.697</v>
      </c>
      <c r="P8" s="18">
        <f t="shared" ref="P8:Q8" si="33">SUM(P5:P7)</f>
        <v>16417.564969999999</v>
      </c>
      <c r="Q8" s="18">
        <f t="shared" si="33"/>
        <v>16541.91934</v>
      </c>
      <c r="R8" s="19">
        <f t="shared" si="6"/>
        <v>-124.35437000000093</v>
      </c>
      <c r="S8" s="18">
        <f t="shared" ref="S8:T8" si="34">SUM(S5:S7)</f>
        <v>1371.3632599999999</v>
      </c>
      <c r="T8" s="18">
        <f t="shared" si="34"/>
        <v>1513.9173999999998</v>
      </c>
      <c r="U8" s="19">
        <f t="shared" si="7"/>
        <v>-142.55413999999996</v>
      </c>
      <c r="V8" s="18">
        <f t="shared" ref="V8:W8" si="35">SUM(V5:V7)</f>
        <v>2759.4279500000002</v>
      </c>
      <c r="W8" s="18">
        <f t="shared" si="35"/>
        <v>4783.0510199999999</v>
      </c>
      <c r="X8" s="19">
        <f t="shared" si="8"/>
        <v>-2023.6230699999996</v>
      </c>
      <c r="Y8" s="18">
        <f t="shared" ref="Y8:Z8" si="36">SUM(Y5:Y7)</f>
        <v>1.55</v>
      </c>
      <c r="Z8" s="18">
        <f t="shared" si="36"/>
        <v>12.275</v>
      </c>
      <c r="AA8" s="19">
        <f t="shared" si="9"/>
        <v>-10.725</v>
      </c>
      <c r="AB8" s="18">
        <f t="shared" ref="AB8:AC8" si="37">SUM(AB5:AB7)</f>
        <v>1485.0727999999999</v>
      </c>
      <c r="AC8" s="18">
        <f t="shared" si="37"/>
        <v>1567.7213599999998</v>
      </c>
      <c r="AD8" s="19">
        <f t="shared" si="10"/>
        <v>-82.648559999999861</v>
      </c>
      <c r="AE8" s="18">
        <f t="shared" ref="AE8:AF8" si="38">SUM(AE5:AE7)</f>
        <v>22034.97898</v>
      </c>
      <c r="AF8" s="18">
        <f t="shared" si="38"/>
        <v>24418.884119999999</v>
      </c>
      <c r="AG8" s="19">
        <f t="shared" si="13"/>
        <v>-2383.9051399999989</v>
      </c>
      <c r="AH8" s="18">
        <f t="shared" ref="AH8:AI8" si="39">SUM(AH5:AH7)</f>
        <v>0</v>
      </c>
      <c r="AI8" s="18">
        <f t="shared" si="39"/>
        <v>0</v>
      </c>
      <c r="AJ8" s="19">
        <f t="shared" si="14"/>
        <v>0</v>
      </c>
      <c r="AK8" s="18">
        <f t="shared" ref="AK8:AL8" si="40">SUM(AK5:AK7)</f>
        <v>-2189.12239</v>
      </c>
      <c r="AL8" s="18">
        <f t="shared" si="40"/>
        <v>0</v>
      </c>
      <c r="AM8" s="19">
        <f t="shared" si="15"/>
        <v>-2189.12239</v>
      </c>
      <c r="AN8" s="18">
        <f t="shared" ref="AN8:AO8" si="41">SUM(AN5:AN7)</f>
        <v>62010.246339999998</v>
      </c>
      <c r="AO8" s="18">
        <f t="shared" si="41"/>
        <v>63236.490379999988</v>
      </c>
      <c r="AP8" s="19">
        <f t="shared" si="18"/>
        <v>-1226.2440399999905</v>
      </c>
      <c r="AQ8" s="18">
        <f t="shared" ref="AQ8:AR8" si="42">SUM(AQ5:AQ7)</f>
        <v>0</v>
      </c>
      <c r="AR8" s="18">
        <f t="shared" si="42"/>
        <v>0</v>
      </c>
      <c r="AS8" s="19">
        <f t="shared" si="19"/>
        <v>0</v>
      </c>
      <c r="AT8" s="18">
        <f t="shared" ref="AT8:AU8" si="43">SUM(AT5:AT7)</f>
        <v>0</v>
      </c>
      <c r="AU8" s="18">
        <f t="shared" si="43"/>
        <v>0</v>
      </c>
      <c r="AV8" s="19">
        <f t="shared" si="20"/>
        <v>0</v>
      </c>
      <c r="AW8" s="18">
        <f t="shared" ref="AW8:AX8" si="44">SUM(AW5:AW7)</f>
        <v>62010.246339999998</v>
      </c>
      <c r="AX8" s="18">
        <f t="shared" si="44"/>
        <v>63236.490379999988</v>
      </c>
      <c r="AY8" s="19">
        <f t="shared" si="23"/>
        <v>-1226.2440399999905</v>
      </c>
      <c r="AZ8" s="18">
        <f t="shared" ref="AZ8:BA8" si="45">SUM(AZ5:AZ7)</f>
        <v>62011.796340000001</v>
      </c>
      <c r="BA8" s="18">
        <f t="shared" si="45"/>
        <v>63248.765379999983</v>
      </c>
      <c r="BB8" s="19">
        <f t="shared" si="26"/>
        <v>-1236.9690399999818</v>
      </c>
      <c r="BC8" s="18">
        <f t="shared" ref="BC8:BD8" si="46">SUM(BC5:BC7)</f>
        <v>63496.869140000003</v>
      </c>
      <c r="BD8" s="18">
        <f t="shared" si="46"/>
        <v>64816.486739999986</v>
      </c>
      <c r="BE8" s="19">
        <f t="shared" si="29"/>
        <v>-1319.6175999999832</v>
      </c>
      <c r="BF8" s="7"/>
    </row>
    <row r="9" spans="1:58" ht="15" customHeight="1" x14ac:dyDescent="0.3">
      <c r="A9" s="37" t="s">
        <v>12</v>
      </c>
      <c r="B9" s="3" t="s">
        <v>9</v>
      </c>
      <c r="C9" s="10" t="s">
        <v>13</v>
      </c>
      <c r="D9" s="17">
        <f t="shared" si="0"/>
        <v>267.93635777497087</v>
      </c>
      <c r="E9" s="17">
        <f t="shared" si="1"/>
        <v>366.53254979418807</v>
      </c>
      <c r="F9" s="4">
        <f t="shared" si="2"/>
        <v>-98.596192019217199</v>
      </c>
      <c r="G9" s="17">
        <v>79987.361000000004</v>
      </c>
      <c r="H9" s="17">
        <v>109421.4</v>
      </c>
      <c r="I9" s="4">
        <f t="shared" si="3"/>
        <v>-29434.03899999999</v>
      </c>
      <c r="J9" s="17">
        <v>17180.174999999999</v>
      </c>
      <c r="K9" s="17">
        <v>19110.757000000001</v>
      </c>
      <c r="L9" s="4">
        <f t="shared" si="4"/>
        <v>-1930.5820000000022</v>
      </c>
      <c r="M9" s="17">
        <v>179.91</v>
      </c>
      <c r="N9" s="17">
        <v>333.33300000000003</v>
      </c>
      <c r="O9" s="4">
        <f t="shared" si="5"/>
        <v>-153.42300000000003</v>
      </c>
      <c r="P9" s="17">
        <v>6226.2</v>
      </c>
      <c r="Q9" s="17">
        <v>7145.3209999999999</v>
      </c>
      <c r="R9" s="4">
        <f t="shared" si="6"/>
        <v>-919.12100000000009</v>
      </c>
      <c r="S9" s="17">
        <v>5460.3419999999996</v>
      </c>
      <c r="T9" s="17">
        <v>6273.9979999999996</v>
      </c>
      <c r="U9" s="4">
        <f t="shared" si="7"/>
        <v>-813.65599999999995</v>
      </c>
      <c r="V9" s="17">
        <v>1411.2940000000001</v>
      </c>
      <c r="W9" s="17">
        <v>1885.7629999999999</v>
      </c>
      <c r="X9" s="4">
        <f t="shared" si="8"/>
        <v>-474.46899999999982</v>
      </c>
      <c r="Y9" s="17">
        <v>293.30700000000002</v>
      </c>
      <c r="Z9" s="17">
        <v>202.465</v>
      </c>
      <c r="AA9" s="4">
        <f t="shared" si="9"/>
        <v>90.842000000000013</v>
      </c>
      <c r="AB9" s="17">
        <v>564.36400000000003</v>
      </c>
      <c r="AC9" s="17">
        <v>313.99400000000003</v>
      </c>
      <c r="AD9" s="4">
        <f t="shared" si="10"/>
        <v>250.37</v>
      </c>
      <c r="AE9" s="17">
        <f t="shared" si="11"/>
        <v>13955.507</v>
      </c>
      <c r="AF9" s="17">
        <f t="shared" si="12"/>
        <v>15821.540999999999</v>
      </c>
      <c r="AG9" s="4">
        <f t="shared" si="13"/>
        <v>-1866.0339999999997</v>
      </c>
      <c r="AH9" s="17"/>
      <c r="AI9" s="17"/>
      <c r="AJ9" s="4">
        <f t="shared" si="14"/>
        <v>0</v>
      </c>
      <c r="AK9" s="17"/>
      <c r="AL9" s="17"/>
      <c r="AM9" s="4">
        <f t="shared" si="15"/>
        <v>0</v>
      </c>
      <c r="AN9" s="17">
        <f>J9+M9-AE9+AH9+AK9</f>
        <v>3404.5779999999995</v>
      </c>
      <c r="AO9" s="17">
        <f t="shared" si="17"/>
        <v>3622.5490000000009</v>
      </c>
      <c r="AP9" s="4">
        <f t="shared" si="18"/>
        <v>-217.97100000000137</v>
      </c>
      <c r="AQ9" s="17"/>
      <c r="AR9" s="17"/>
      <c r="AS9" s="4">
        <f t="shared" si="19"/>
        <v>0</v>
      </c>
      <c r="AT9" s="17"/>
      <c r="AU9" s="17"/>
      <c r="AV9" s="4">
        <f t="shared" si="20"/>
        <v>0</v>
      </c>
      <c r="AW9" s="17">
        <f t="shared" si="21"/>
        <v>3404.5779999999995</v>
      </c>
      <c r="AX9" s="17">
        <f t="shared" si="22"/>
        <v>3622.5490000000009</v>
      </c>
      <c r="AY9" s="4">
        <f t="shared" si="23"/>
        <v>-217.97100000000137</v>
      </c>
      <c r="AZ9" s="17">
        <f t="shared" si="24"/>
        <v>3697.8849999999993</v>
      </c>
      <c r="BA9" s="17">
        <f t="shared" si="25"/>
        <v>3825.014000000001</v>
      </c>
      <c r="BB9" s="4">
        <f t="shared" si="26"/>
        <v>-127.12900000000172</v>
      </c>
      <c r="BC9" s="17">
        <f t="shared" si="27"/>
        <v>4262.2489999999998</v>
      </c>
      <c r="BD9" s="17">
        <f t="shared" si="28"/>
        <v>4139.0080000000007</v>
      </c>
      <c r="BE9" s="4">
        <f t="shared" si="29"/>
        <v>123.24099999999908</v>
      </c>
      <c r="BF9" s="7"/>
    </row>
    <row r="10" spans="1:58" ht="15" customHeight="1" x14ac:dyDescent="0.3">
      <c r="A10" s="32"/>
      <c r="B10" s="3" t="s">
        <v>9</v>
      </c>
      <c r="C10" s="10" t="s">
        <v>14</v>
      </c>
      <c r="D10" s="17">
        <f t="shared" si="0"/>
        <v>3.2076882311884654</v>
      </c>
      <c r="E10" s="17">
        <f t="shared" si="1"/>
        <v>17.421472501674742</v>
      </c>
      <c r="F10" s="4">
        <f t="shared" si="2"/>
        <v>-14.213784270486277</v>
      </c>
      <c r="G10" s="17">
        <v>957.59500000000003</v>
      </c>
      <c r="H10" s="17">
        <v>5200.8530000000001</v>
      </c>
      <c r="I10" s="4">
        <f t="shared" si="3"/>
        <v>-4243.2579999999998</v>
      </c>
      <c r="J10" s="17">
        <v>478.577</v>
      </c>
      <c r="K10" s="17">
        <v>2565.1869999999999</v>
      </c>
      <c r="L10" s="4">
        <f t="shared" si="4"/>
        <v>-2086.6099999999997</v>
      </c>
      <c r="M10" s="17">
        <v>0</v>
      </c>
      <c r="N10" s="17">
        <v>0</v>
      </c>
      <c r="O10" s="4">
        <f t="shared" si="5"/>
        <v>0</v>
      </c>
      <c r="P10" s="17">
        <v>282.62</v>
      </c>
      <c r="Q10" s="17">
        <v>405.834</v>
      </c>
      <c r="R10" s="4">
        <f t="shared" si="6"/>
        <v>-123.214</v>
      </c>
      <c r="S10" s="17">
        <v>-96.885999999999996</v>
      </c>
      <c r="T10" s="17">
        <v>540.06700000000001</v>
      </c>
      <c r="U10" s="4">
        <f t="shared" si="7"/>
        <v>-636.95299999999997</v>
      </c>
      <c r="V10" s="17">
        <v>27.198</v>
      </c>
      <c r="W10" s="17">
        <v>29.716000000000001</v>
      </c>
      <c r="X10" s="4">
        <f t="shared" si="8"/>
        <v>-2.5180000000000007</v>
      </c>
      <c r="Y10" s="17">
        <v>0</v>
      </c>
      <c r="Z10" s="17">
        <v>0</v>
      </c>
      <c r="AA10" s="4">
        <f t="shared" si="9"/>
        <v>0</v>
      </c>
      <c r="AB10" s="17">
        <v>7.3689999999999998</v>
      </c>
      <c r="AC10" s="17">
        <v>5.9269999999999996</v>
      </c>
      <c r="AD10" s="4">
        <f t="shared" si="10"/>
        <v>1.4420000000000002</v>
      </c>
      <c r="AE10" s="17">
        <f t="shared" si="11"/>
        <v>220.30100000000002</v>
      </c>
      <c r="AF10" s="17">
        <f t="shared" si="12"/>
        <v>981.5440000000001</v>
      </c>
      <c r="AG10" s="4">
        <f t="shared" si="13"/>
        <v>-761.24300000000005</v>
      </c>
      <c r="AH10" s="17"/>
      <c r="AI10" s="17"/>
      <c r="AJ10" s="4">
        <f t="shared" si="14"/>
        <v>0</v>
      </c>
      <c r="AK10" s="17"/>
      <c r="AL10" s="17"/>
      <c r="AM10" s="4">
        <f t="shared" si="15"/>
        <v>0</v>
      </c>
      <c r="AN10" s="17">
        <f t="shared" si="16"/>
        <v>258.27599999999995</v>
      </c>
      <c r="AO10" s="17">
        <f t="shared" si="17"/>
        <v>1583.6429999999998</v>
      </c>
      <c r="AP10" s="4">
        <f t="shared" si="18"/>
        <v>-1325.3669999999997</v>
      </c>
      <c r="AQ10" s="17"/>
      <c r="AR10" s="17"/>
      <c r="AS10" s="4">
        <f t="shared" si="19"/>
        <v>0</v>
      </c>
      <c r="AT10" s="17"/>
      <c r="AU10" s="17"/>
      <c r="AV10" s="4">
        <f t="shared" si="20"/>
        <v>0</v>
      </c>
      <c r="AW10" s="17">
        <f t="shared" si="21"/>
        <v>258.27599999999995</v>
      </c>
      <c r="AX10" s="17">
        <f t="shared" si="22"/>
        <v>1583.6429999999998</v>
      </c>
      <c r="AY10" s="4">
        <f t="shared" si="23"/>
        <v>-1325.3669999999997</v>
      </c>
      <c r="AZ10" s="17">
        <f t="shared" si="24"/>
        <v>258.27599999999995</v>
      </c>
      <c r="BA10" s="17">
        <f t="shared" si="25"/>
        <v>1583.6429999999998</v>
      </c>
      <c r="BB10" s="4">
        <f t="shared" si="26"/>
        <v>-1325.3669999999997</v>
      </c>
      <c r="BC10" s="17">
        <f t="shared" si="27"/>
        <v>265.64499999999998</v>
      </c>
      <c r="BD10" s="17">
        <f t="shared" si="28"/>
        <v>1589.5699999999997</v>
      </c>
      <c r="BE10" s="4">
        <f t="shared" si="29"/>
        <v>-1323.9249999999997</v>
      </c>
      <c r="BF10" s="7"/>
    </row>
    <row r="11" spans="1:58" ht="15" customHeight="1" x14ac:dyDescent="0.3">
      <c r="A11" s="32"/>
      <c r="B11" s="10" t="s">
        <v>9</v>
      </c>
      <c r="C11" s="10" t="s">
        <v>15</v>
      </c>
      <c r="D11" s="17">
        <f t="shared" si="0"/>
        <v>5.908290426917743</v>
      </c>
      <c r="E11" s="17">
        <f t="shared" si="1"/>
        <v>12.320836364328112</v>
      </c>
      <c r="F11" s="4">
        <f t="shared" si="2"/>
        <v>-6.4125459374103695</v>
      </c>
      <c r="G11" s="17">
        <v>1763.809</v>
      </c>
      <c r="H11" s="17">
        <v>3678.154</v>
      </c>
      <c r="I11" s="4">
        <f t="shared" si="3"/>
        <v>-1914.345</v>
      </c>
      <c r="J11" s="17">
        <v>502.28100000000001</v>
      </c>
      <c r="K11" s="17">
        <v>1342.3430000000001</v>
      </c>
      <c r="L11" s="4">
        <f t="shared" si="4"/>
        <v>-840.06200000000013</v>
      </c>
      <c r="M11" s="17">
        <v>0</v>
      </c>
      <c r="N11" s="17">
        <v>0</v>
      </c>
      <c r="O11" s="4">
        <f t="shared" si="5"/>
        <v>0</v>
      </c>
      <c r="P11" s="17">
        <v>280.35899999999998</v>
      </c>
      <c r="Q11" s="17">
        <v>607.14200000000005</v>
      </c>
      <c r="R11" s="4">
        <f t="shared" si="6"/>
        <v>-326.78300000000007</v>
      </c>
      <c r="S11" s="17">
        <v>118.51600000000001</v>
      </c>
      <c r="T11" s="17">
        <v>485.93799999999999</v>
      </c>
      <c r="U11" s="4">
        <f t="shared" si="7"/>
        <v>-367.42199999999997</v>
      </c>
      <c r="V11" s="17">
        <v>27.198</v>
      </c>
      <c r="W11" s="17">
        <v>31.337</v>
      </c>
      <c r="X11" s="4">
        <f t="shared" si="8"/>
        <v>-4.1389999999999993</v>
      </c>
      <c r="Y11" s="17">
        <v>0</v>
      </c>
      <c r="Z11" s="17">
        <v>0</v>
      </c>
      <c r="AA11" s="4">
        <f t="shared" si="9"/>
        <v>0</v>
      </c>
      <c r="AB11" s="17">
        <v>2.6309999999999998</v>
      </c>
      <c r="AC11" s="17">
        <v>1.728</v>
      </c>
      <c r="AD11" s="4">
        <f t="shared" si="10"/>
        <v>0.9029999999999998</v>
      </c>
      <c r="AE11" s="17">
        <f t="shared" si="11"/>
        <v>428.70399999999995</v>
      </c>
      <c r="AF11" s="17">
        <f t="shared" si="12"/>
        <v>1126.145</v>
      </c>
      <c r="AG11" s="4">
        <f t="shared" si="13"/>
        <v>-697.44100000000003</v>
      </c>
      <c r="AH11" s="17"/>
      <c r="AI11" s="17"/>
      <c r="AJ11" s="4">
        <f t="shared" si="14"/>
        <v>0</v>
      </c>
      <c r="AK11" s="17"/>
      <c r="AL11" s="17"/>
      <c r="AM11" s="4">
        <f t="shared" si="15"/>
        <v>0</v>
      </c>
      <c r="AN11" s="17">
        <f t="shared" si="16"/>
        <v>73.577000000000055</v>
      </c>
      <c r="AO11" s="17">
        <f t="shared" si="17"/>
        <v>216.19800000000009</v>
      </c>
      <c r="AP11" s="4">
        <f t="shared" si="18"/>
        <v>-142.62100000000004</v>
      </c>
      <c r="AQ11" s="17"/>
      <c r="AR11" s="17"/>
      <c r="AS11" s="4">
        <f t="shared" si="19"/>
        <v>0</v>
      </c>
      <c r="AT11" s="17"/>
      <c r="AU11" s="17"/>
      <c r="AV11" s="4">
        <f t="shared" si="20"/>
        <v>0</v>
      </c>
      <c r="AW11" s="17">
        <f t="shared" si="21"/>
        <v>73.577000000000055</v>
      </c>
      <c r="AX11" s="17">
        <f t="shared" si="22"/>
        <v>216.19800000000009</v>
      </c>
      <c r="AY11" s="4">
        <f t="shared" si="23"/>
        <v>-142.62100000000004</v>
      </c>
      <c r="AZ11" s="17">
        <f t="shared" si="24"/>
        <v>73.577000000000055</v>
      </c>
      <c r="BA11" s="17">
        <f t="shared" si="25"/>
        <v>216.19800000000009</v>
      </c>
      <c r="BB11" s="4">
        <f t="shared" si="26"/>
        <v>-142.62100000000004</v>
      </c>
      <c r="BC11" s="17">
        <f t="shared" si="27"/>
        <v>76.208000000000055</v>
      </c>
      <c r="BD11" s="17">
        <f t="shared" si="28"/>
        <v>217.9260000000001</v>
      </c>
      <c r="BE11" s="4">
        <f t="shared" si="29"/>
        <v>-141.71800000000005</v>
      </c>
      <c r="BF11" s="7"/>
    </row>
    <row r="12" spans="1:58" ht="15" customHeight="1" x14ac:dyDescent="0.3">
      <c r="A12" s="32"/>
      <c r="B12" s="10" t="s">
        <v>9</v>
      </c>
      <c r="C12" s="10" t="s">
        <v>16</v>
      </c>
      <c r="D12" s="17">
        <f t="shared" si="0"/>
        <v>21.49533821970153</v>
      </c>
      <c r="E12" s="17">
        <f t="shared" si="1"/>
        <v>28.695373049879819</v>
      </c>
      <c r="F12" s="4">
        <f t="shared" si="2"/>
        <v>-7.2000348301782893</v>
      </c>
      <c r="G12" s="17">
        <v>6417.0290000000005</v>
      </c>
      <c r="H12" s="17">
        <v>8566.4639999999999</v>
      </c>
      <c r="I12" s="4">
        <f t="shared" si="3"/>
        <v>-2149.4349999999995</v>
      </c>
      <c r="J12" s="17">
        <v>634.73699999999997</v>
      </c>
      <c r="K12" s="17">
        <v>993.71</v>
      </c>
      <c r="L12" s="4">
        <f t="shared" si="4"/>
        <v>-358.97300000000007</v>
      </c>
      <c r="M12" s="17">
        <v>44.488</v>
      </c>
      <c r="N12" s="17">
        <v>44.488</v>
      </c>
      <c r="O12" s="4">
        <f t="shared" si="5"/>
        <v>0</v>
      </c>
      <c r="P12" s="17">
        <v>530.37800000000004</v>
      </c>
      <c r="Q12" s="17">
        <v>366.03699999999998</v>
      </c>
      <c r="R12" s="4">
        <f t="shared" si="6"/>
        <v>164.34100000000007</v>
      </c>
      <c r="S12" s="17">
        <v>583.452</v>
      </c>
      <c r="T12" s="17">
        <v>611.553</v>
      </c>
      <c r="U12" s="4">
        <f t="shared" si="7"/>
        <v>-28.100999999999999</v>
      </c>
      <c r="V12" s="17">
        <v>0</v>
      </c>
      <c r="W12" s="17">
        <v>0</v>
      </c>
      <c r="X12" s="4">
        <f t="shared" si="8"/>
        <v>0</v>
      </c>
      <c r="Y12" s="17">
        <v>0</v>
      </c>
      <c r="Z12" s="17">
        <v>0</v>
      </c>
      <c r="AA12" s="4">
        <f t="shared" si="9"/>
        <v>0</v>
      </c>
      <c r="AB12" s="17">
        <v>0</v>
      </c>
      <c r="AC12" s="17">
        <v>0</v>
      </c>
      <c r="AD12" s="4">
        <f t="shared" si="10"/>
        <v>0</v>
      </c>
      <c r="AE12" s="17">
        <f t="shared" si="11"/>
        <v>1113.83</v>
      </c>
      <c r="AF12" s="17">
        <f t="shared" si="12"/>
        <v>977.58999999999992</v>
      </c>
      <c r="AG12" s="4">
        <f t="shared" si="13"/>
        <v>136.24</v>
      </c>
      <c r="AH12" s="17"/>
      <c r="AI12" s="17"/>
      <c r="AJ12" s="4">
        <f t="shared" si="14"/>
        <v>0</v>
      </c>
      <c r="AK12" s="17"/>
      <c r="AL12" s="17"/>
      <c r="AM12" s="4">
        <f t="shared" si="15"/>
        <v>0</v>
      </c>
      <c r="AN12" s="17">
        <f t="shared" si="16"/>
        <v>-434.60500000000002</v>
      </c>
      <c r="AO12" s="17">
        <f t="shared" si="17"/>
        <v>60.608000000000175</v>
      </c>
      <c r="AP12" s="4">
        <f t="shared" si="18"/>
        <v>-495.21300000000019</v>
      </c>
      <c r="AQ12" s="17"/>
      <c r="AR12" s="17"/>
      <c r="AS12" s="4">
        <f t="shared" si="19"/>
        <v>0</v>
      </c>
      <c r="AT12" s="17"/>
      <c r="AU12" s="17"/>
      <c r="AV12" s="4">
        <f t="shared" si="20"/>
        <v>0</v>
      </c>
      <c r="AW12" s="17">
        <f t="shared" si="21"/>
        <v>-434.60500000000002</v>
      </c>
      <c r="AX12" s="17">
        <f t="shared" si="22"/>
        <v>60.608000000000175</v>
      </c>
      <c r="AY12" s="4">
        <f t="shared" si="23"/>
        <v>-495.21300000000019</v>
      </c>
      <c r="AZ12" s="17">
        <f t="shared" si="24"/>
        <v>-434.60500000000002</v>
      </c>
      <c r="BA12" s="17">
        <f t="shared" si="25"/>
        <v>60.608000000000175</v>
      </c>
      <c r="BB12" s="4">
        <f t="shared" si="26"/>
        <v>-495.21300000000019</v>
      </c>
      <c r="BC12" s="17">
        <f t="shared" si="27"/>
        <v>-434.60500000000002</v>
      </c>
      <c r="BD12" s="17">
        <f t="shared" si="28"/>
        <v>60.608000000000175</v>
      </c>
      <c r="BE12" s="4">
        <f t="shared" si="29"/>
        <v>-495.21300000000019</v>
      </c>
      <c r="BF12" s="7"/>
    </row>
    <row r="13" spans="1:58" ht="15" customHeight="1" x14ac:dyDescent="0.3">
      <c r="A13" s="32"/>
      <c r="B13" s="10" t="s">
        <v>9</v>
      </c>
      <c r="C13" s="10" t="s">
        <v>17</v>
      </c>
      <c r="D13" s="17">
        <f t="shared" si="0"/>
        <v>14.572585033719486</v>
      </c>
      <c r="E13" s="17">
        <f t="shared" si="1"/>
        <v>7.8237267868964784</v>
      </c>
      <c r="F13" s="4">
        <f t="shared" si="2"/>
        <v>6.7488582468230076</v>
      </c>
      <c r="G13" s="17">
        <v>4350.3712205205011</v>
      </c>
      <c r="H13" s="17">
        <v>2335.6265049868398</v>
      </c>
      <c r="I13" s="4">
        <f t="shared" si="3"/>
        <v>2014.7447155336613</v>
      </c>
      <c r="J13" s="17">
        <v>868.14483155949313</v>
      </c>
      <c r="K13" s="17">
        <v>583.90662624670983</v>
      </c>
      <c r="L13" s="4">
        <f t="shared" si="4"/>
        <v>284.23820531278329</v>
      </c>
      <c r="M13" s="17">
        <v>3.2730000000000001</v>
      </c>
      <c r="N13" s="17">
        <v>5</v>
      </c>
      <c r="O13" s="4">
        <f t="shared" si="5"/>
        <v>-1.7269999999999999</v>
      </c>
      <c r="P13" s="17">
        <v>244</v>
      </c>
      <c r="Q13" s="17">
        <v>244</v>
      </c>
      <c r="R13" s="4">
        <f t="shared" si="6"/>
        <v>0</v>
      </c>
      <c r="S13" s="17">
        <v>32.701322833333336</v>
      </c>
      <c r="T13" s="17">
        <v>242.96775426038778</v>
      </c>
      <c r="U13" s="4">
        <f t="shared" si="7"/>
        <v>-210.26643142705444</v>
      </c>
      <c r="V13" s="17">
        <v>0</v>
      </c>
      <c r="W13" s="17">
        <v>0.2301110099316109</v>
      </c>
      <c r="X13" s="4">
        <f t="shared" si="8"/>
        <v>-0.2301110099316109</v>
      </c>
      <c r="Y13" s="17">
        <v>0</v>
      </c>
      <c r="Z13" s="17">
        <v>0</v>
      </c>
      <c r="AA13" s="4">
        <f t="shared" si="9"/>
        <v>0</v>
      </c>
      <c r="AB13" s="17">
        <v>55.916669999999996</v>
      </c>
      <c r="AC13" s="17">
        <v>55.916669999999996</v>
      </c>
      <c r="AD13" s="4">
        <f t="shared" si="10"/>
        <v>0</v>
      </c>
      <c r="AE13" s="17">
        <f t="shared" si="11"/>
        <v>332.61799283333335</v>
      </c>
      <c r="AF13" s="17">
        <f t="shared" si="12"/>
        <v>543.11453527031938</v>
      </c>
      <c r="AG13" s="4">
        <f t="shared" si="13"/>
        <v>-210.49654243698603</v>
      </c>
      <c r="AH13" s="17"/>
      <c r="AI13" s="17"/>
      <c r="AJ13" s="4">
        <f t="shared" si="14"/>
        <v>0</v>
      </c>
      <c r="AK13" s="17"/>
      <c r="AL13" s="17"/>
      <c r="AM13" s="4">
        <f t="shared" si="15"/>
        <v>0</v>
      </c>
      <c r="AN13" s="17">
        <f t="shared" si="16"/>
        <v>538.79983872615981</v>
      </c>
      <c r="AO13" s="17">
        <f t="shared" si="17"/>
        <v>45.792090976390455</v>
      </c>
      <c r="AP13" s="4">
        <f t="shared" si="18"/>
        <v>493.00774774976935</v>
      </c>
      <c r="AQ13" s="17"/>
      <c r="AR13" s="17"/>
      <c r="AS13" s="4">
        <f t="shared" si="19"/>
        <v>0</v>
      </c>
      <c r="AT13" s="17"/>
      <c r="AU13" s="17"/>
      <c r="AV13" s="4">
        <f t="shared" si="20"/>
        <v>0</v>
      </c>
      <c r="AW13" s="17">
        <f t="shared" si="21"/>
        <v>538.79983872615981</v>
      </c>
      <c r="AX13" s="17">
        <f t="shared" si="22"/>
        <v>45.792090976390455</v>
      </c>
      <c r="AY13" s="4">
        <f t="shared" si="23"/>
        <v>493.00774774976935</v>
      </c>
      <c r="AZ13" s="17">
        <f t="shared" si="24"/>
        <v>538.79983872615981</v>
      </c>
      <c r="BA13" s="17">
        <f t="shared" si="25"/>
        <v>45.792090976390455</v>
      </c>
      <c r="BB13" s="4">
        <f t="shared" si="26"/>
        <v>493.00774774976935</v>
      </c>
      <c r="BC13" s="17">
        <f t="shared" si="27"/>
        <v>594.71650872615976</v>
      </c>
      <c r="BD13" s="17">
        <f t="shared" si="28"/>
        <v>101.70876097639045</v>
      </c>
      <c r="BE13" s="4">
        <f t="shared" si="29"/>
        <v>493.00774774976929</v>
      </c>
      <c r="BF13" s="7"/>
    </row>
    <row r="14" spans="1:58" ht="15" customHeight="1" x14ac:dyDescent="0.3">
      <c r="A14" s="32"/>
      <c r="B14" s="10" t="s">
        <v>9</v>
      </c>
      <c r="C14" s="10" t="s">
        <v>18</v>
      </c>
      <c r="D14" s="17">
        <f t="shared" si="0"/>
        <v>51.855348027016575</v>
      </c>
      <c r="E14" s="17">
        <f t="shared" si="1"/>
        <v>53.060250017360758</v>
      </c>
      <c r="F14" s="4">
        <f t="shared" si="2"/>
        <v>-1.2049019903441831</v>
      </c>
      <c r="G14" s="17">
        <v>15480.439</v>
      </c>
      <c r="H14" s="17">
        <v>15840.139830718248</v>
      </c>
      <c r="I14" s="4">
        <f t="shared" si="3"/>
        <v>-359.70083071824774</v>
      </c>
      <c r="J14" s="17">
        <v>15093.441999999999</v>
      </c>
      <c r="K14" s="17">
        <v>15444.151779102072</v>
      </c>
      <c r="L14" s="4">
        <f t="shared" si="4"/>
        <v>-350.7097791020733</v>
      </c>
      <c r="M14" s="17">
        <v>72.882000000000005</v>
      </c>
      <c r="N14" s="17">
        <v>71.150666666666666</v>
      </c>
      <c r="O14" s="4">
        <f t="shared" si="5"/>
        <v>1.7313333333333389</v>
      </c>
      <c r="P14" s="17">
        <v>8383.7289999999994</v>
      </c>
      <c r="Q14" s="17">
        <v>9408.5575811666658</v>
      </c>
      <c r="R14" s="4">
        <f t="shared" si="6"/>
        <v>-1024.8285811666665</v>
      </c>
      <c r="S14" s="17">
        <v>2079.8766000000001</v>
      </c>
      <c r="T14" s="17">
        <v>2464.0568051511668</v>
      </c>
      <c r="U14" s="4">
        <f t="shared" si="7"/>
        <v>-384.18020515116677</v>
      </c>
      <c r="V14" s="17">
        <v>39.262</v>
      </c>
      <c r="W14" s="17">
        <v>145.05556333333337</v>
      </c>
      <c r="X14" s="4">
        <f t="shared" si="8"/>
        <v>-105.79356333333337</v>
      </c>
      <c r="Y14" s="17">
        <v>0</v>
      </c>
      <c r="Z14" s="17">
        <v>0</v>
      </c>
      <c r="AA14" s="4">
        <f t="shared" si="9"/>
        <v>0</v>
      </c>
      <c r="AB14" s="17">
        <v>32.351999999999997</v>
      </c>
      <c r="AC14" s="17">
        <v>49.44211111111111</v>
      </c>
      <c r="AD14" s="4">
        <f t="shared" si="10"/>
        <v>-17.090111111111113</v>
      </c>
      <c r="AE14" s="17">
        <f t="shared" si="11"/>
        <v>10535.2196</v>
      </c>
      <c r="AF14" s="17">
        <f t="shared" si="12"/>
        <v>12067.112060762278</v>
      </c>
      <c r="AG14" s="4">
        <f t="shared" si="13"/>
        <v>-1531.8924607622776</v>
      </c>
      <c r="AH14" s="17"/>
      <c r="AI14" s="17"/>
      <c r="AJ14" s="4">
        <f t="shared" si="14"/>
        <v>0</v>
      </c>
      <c r="AK14" s="17"/>
      <c r="AL14" s="17"/>
      <c r="AM14" s="4">
        <f t="shared" si="15"/>
        <v>0</v>
      </c>
      <c r="AN14" s="17">
        <f t="shared" si="16"/>
        <v>4631.1043999999983</v>
      </c>
      <c r="AO14" s="17">
        <f t="shared" si="17"/>
        <v>3448.1903850064609</v>
      </c>
      <c r="AP14" s="4">
        <f t="shared" si="18"/>
        <v>1182.9140149935374</v>
      </c>
      <c r="AQ14" s="17"/>
      <c r="AR14" s="17"/>
      <c r="AS14" s="4">
        <f t="shared" si="19"/>
        <v>0</v>
      </c>
      <c r="AT14" s="17"/>
      <c r="AU14" s="17"/>
      <c r="AV14" s="4">
        <f t="shared" si="20"/>
        <v>0</v>
      </c>
      <c r="AW14" s="17">
        <f t="shared" si="21"/>
        <v>4631.1043999999983</v>
      </c>
      <c r="AX14" s="17">
        <f t="shared" si="22"/>
        <v>3448.1903850064609</v>
      </c>
      <c r="AY14" s="4">
        <f t="shared" si="23"/>
        <v>1182.9140149935374</v>
      </c>
      <c r="AZ14" s="17">
        <f t="shared" si="24"/>
        <v>4631.1043999999983</v>
      </c>
      <c r="BA14" s="17">
        <f t="shared" si="25"/>
        <v>3448.1903850064609</v>
      </c>
      <c r="BB14" s="4">
        <f t="shared" si="26"/>
        <v>1182.9140149935374</v>
      </c>
      <c r="BC14" s="17">
        <f t="shared" si="27"/>
        <v>4663.4563999999982</v>
      </c>
      <c r="BD14" s="17">
        <f t="shared" si="28"/>
        <v>3497.6324961175719</v>
      </c>
      <c r="BE14" s="4">
        <f t="shared" si="29"/>
        <v>1165.8239038824263</v>
      </c>
      <c r="BF14" s="7"/>
    </row>
    <row r="15" spans="1:58" ht="15" customHeight="1" x14ac:dyDescent="0.3">
      <c r="A15" s="32"/>
      <c r="B15" s="10" t="s">
        <v>9</v>
      </c>
      <c r="C15" s="10" t="s">
        <v>19</v>
      </c>
      <c r="D15" s="17">
        <f t="shared" si="0"/>
        <v>3.1655776905761797</v>
      </c>
      <c r="E15" s="17">
        <f t="shared" si="1"/>
        <v>5.0969212816260914</v>
      </c>
      <c r="F15" s="4">
        <f t="shared" si="2"/>
        <v>-1.9313435910499117</v>
      </c>
      <c r="G15" s="17">
        <v>945.02368999999999</v>
      </c>
      <c r="H15" s="17">
        <v>1521.589999683473</v>
      </c>
      <c r="I15" s="4">
        <f t="shared" si="3"/>
        <v>-576.56630968347304</v>
      </c>
      <c r="J15" s="17">
        <v>945.02368999999999</v>
      </c>
      <c r="K15" s="17">
        <v>1521.589999683473</v>
      </c>
      <c r="L15" s="4">
        <f t="shared" si="4"/>
        <v>-576.56630968347304</v>
      </c>
      <c r="M15" s="17">
        <v>0</v>
      </c>
      <c r="N15" s="17">
        <v>0</v>
      </c>
      <c r="O15" s="4">
        <f t="shared" si="5"/>
        <v>0</v>
      </c>
      <c r="P15" s="17">
        <v>1119.1077499999999</v>
      </c>
      <c r="Q15" s="17">
        <v>1125.36023333</v>
      </c>
      <c r="R15" s="4">
        <f t="shared" si="6"/>
        <v>-6.2524833300001319</v>
      </c>
      <c r="S15" s="17">
        <v>326.07817</v>
      </c>
      <c r="T15" s="17">
        <v>399.25344648332799</v>
      </c>
      <c r="U15" s="4">
        <f t="shared" si="7"/>
        <v>-73.175276483327991</v>
      </c>
      <c r="V15" s="17">
        <v>40.499569999999999</v>
      </c>
      <c r="W15" s="17">
        <v>206.77996142088011</v>
      </c>
      <c r="X15" s="4">
        <f t="shared" si="8"/>
        <v>-166.28039142088011</v>
      </c>
      <c r="Y15" s="17">
        <v>46.769449999999999</v>
      </c>
      <c r="Z15" s="17">
        <v>73.323205729999998</v>
      </c>
      <c r="AA15" s="4">
        <f t="shared" si="9"/>
        <v>-26.553755729999999</v>
      </c>
      <c r="AB15" s="17">
        <v>77.474999999999994</v>
      </c>
      <c r="AC15" s="17">
        <v>78.665524444444458</v>
      </c>
      <c r="AD15" s="4">
        <f t="shared" si="10"/>
        <v>-1.1905244444444634</v>
      </c>
      <c r="AE15" s="17">
        <f t="shared" si="11"/>
        <v>1609.9299399999998</v>
      </c>
      <c r="AF15" s="17">
        <f t="shared" si="12"/>
        <v>1883.3823714086525</v>
      </c>
      <c r="AG15" s="4">
        <f t="shared" si="13"/>
        <v>-273.45243140865273</v>
      </c>
      <c r="AH15" s="17"/>
      <c r="AI15" s="17"/>
      <c r="AJ15" s="4">
        <f t="shared" si="14"/>
        <v>0</v>
      </c>
      <c r="AK15" s="17"/>
      <c r="AL15" s="17"/>
      <c r="AM15" s="4">
        <f t="shared" si="15"/>
        <v>0</v>
      </c>
      <c r="AN15" s="17">
        <f t="shared" si="16"/>
        <v>-664.90624999999977</v>
      </c>
      <c r="AO15" s="17">
        <f t="shared" si="17"/>
        <v>-361.79237172517946</v>
      </c>
      <c r="AP15" s="4">
        <f t="shared" si="18"/>
        <v>-303.11387827482031</v>
      </c>
      <c r="AQ15" s="17"/>
      <c r="AR15" s="17"/>
      <c r="AS15" s="4">
        <f t="shared" si="19"/>
        <v>0</v>
      </c>
      <c r="AT15" s="17"/>
      <c r="AU15" s="17"/>
      <c r="AV15" s="4">
        <f t="shared" si="20"/>
        <v>0</v>
      </c>
      <c r="AW15" s="17">
        <f t="shared" si="21"/>
        <v>-664.90624999999977</v>
      </c>
      <c r="AX15" s="17">
        <f t="shared" si="22"/>
        <v>-361.79237172517946</v>
      </c>
      <c r="AY15" s="4">
        <f t="shared" si="23"/>
        <v>-303.11387827482031</v>
      </c>
      <c r="AZ15" s="17">
        <f t="shared" si="24"/>
        <v>-618.13679999999977</v>
      </c>
      <c r="BA15" s="17">
        <f t="shared" si="25"/>
        <v>-288.46916599517948</v>
      </c>
      <c r="BB15" s="4">
        <f t="shared" si="26"/>
        <v>-329.66763400482029</v>
      </c>
      <c r="BC15" s="17">
        <f t="shared" si="27"/>
        <v>-540.66179999999974</v>
      </c>
      <c r="BD15" s="17">
        <f t="shared" si="28"/>
        <v>-209.80364155073502</v>
      </c>
      <c r="BE15" s="4">
        <f t="shared" si="29"/>
        <v>-330.85815844926469</v>
      </c>
      <c r="BF15" s="7"/>
    </row>
    <row r="16" spans="1:58" ht="15" customHeight="1" x14ac:dyDescent="0.3">
      <c r="A16" s="32"/>
      <c r="B16" s="10" t="s">
        <v>10</v>
      </c>
      <c r="C16" s="10" t="s">
        <v>20</v>
      </c>
      <c r="D16" s="17">
        <f t="shared" si="0"/>
        <v>141.21233138520466</v>
      </c>
      <c r="E16" s="17">
        <f t="shared" si="1"/>
        <v>89.904427788230763</v>
      </c>
      <c r="F16" s="4">
        <f t="shared" si="2"/>
        <v>51.307903596973901</v>
      </c>
      <c r="G16" s="17">
        <v>42156.286</v>
      </c>
      <c r="H16" s="17">
        <v>26839.276239752668</v>
      </c>
      <c r="I16" s="4">
        <f t="shared" si="3"/>
        <v>15317.009760247332</v>
      </c>
      <c r="J16" s="17">
        <v>29098.812000000002</v>
      </c>
      <c r="K16" s="17">
        <v>19914.318538326934</v>
      </c>
      <c r="L16" s="4">
        <f t="shared" si="4"/>
        <v>9184.4934616730679</v>
      </c>
      <c r="M16" s="17">
        <v>58.584000000000003</v>
      </c>
      <c r="N16" s="17">
        <v>88.052999999999997</v>
      </c>
      <c r="O16" s="4">
        <f t="shared" si="5"/>
        <v>-29.468999999999994</v>
      </c>
      <c r="P16" s="17">
        <v>5721.3090000000002</v>
      </c>
      <c r="Q16" s="17">
        <v>6355.6337624865464</v>
      </c>
      <c r="R16" s="4">
        <f t="shared" si="6"/>
        <v>-634.32476248654621</v>
      </c>
      <c r="S16" s="17">
        <v>3038.4940099999999</v>
      </c>
      <c r="T16" s="17">
        <v>2491.4755984120679</v>
      </c>
      <c r="U16" s="4">
        <f t="shared" si="7"/>
        <v>547.01841158793195</v>
      </c>
      <c r="V16" s="17">
        <v>75.156000000000006</v>
      </c>
      <c r="W16" s="17">
        <v>88.783333333333331</v>
      </c>
      <c r="X16" s="4">
        <f t="shared" si="8"/>
        <v>-13.627333333333326</v>
      </c>
      <c r="Y16" s="17">
        <v>0</v>
      </c>
      <c r="Z16" s="17">
        <v>0</v>
      </c>
      <c r="AA16" s="4">
        <f t="shared" si="9"/>
        <v>0</v>
      </c>
      <c r="AB16" s="17">
        <v>264.07747731506845</v>
      </c>
      <c r="AC16" s="17">
        <v>506.59252777777772</v>
      </c>
      <c r="AD16" s="4">
        <f t="shared" si="10"/>
        <v>-242.51505046270927</v>
      </c>
      <c r="AE16" s="17">
        <f t="shared" si="11"/>
        <v>9099.0364873150684</v>
      </c>
      <c r="AF16" s="17">
        <f t="shared" si="12"/>
        <v>9442.4852220097237</v>
      </c>
      <c r="AG16" s="4">
        <f t="shared" si="13"/>
        <v>-343.44873469465529</v>
      </c>
      <c r="AH16" s="17"/>
      <c r="AI16" s="17"/>
      <c r="AJ16" s="4">
        <f t="shared" si="14"/>
        <v>0</v>
      </c>
      <c r="AK16" s="17"/>
      <c r="AL16" s="17"/>
      <c r="AM16" s="4">
        <f t="shared" si="15"/>
        <v>0</v>
      </c>
      <c r="AN16" s="17">
        <f t="shared" si="16"/>
        <v>20058.359512684932</v>
      </c>
      <c r="AO16" s="17">
        <f t="shared" si="17"/>
        <v>10559.88631631721</v>
      </c>
      <c r="AP16" s="4">
        <f t="shared" si="18"/>
        <v>9498.4731963677223</v>
      </c>
      <c r="AQ16" s="17"/>
      <c r="AR16" s="17"/>
      <c r="AS16" s="4">
        <f t="shared" si="19"/>
        <v>0</v>
      </c>
      <c r="AT16" s="17"/>
      <c r="AU16" s="17"/>
      <c r="AV16" s="4">
        <f t="shared" si="20"/>
        <v>0</v>
      </c>
      <c r="AW16" s="17">
        <f t="shared" si="21"/>
        <v>20058.359512684932</v>
      </c>
      <c r="AX16" s="17">
        <f t="shared" si="22"/>
        <v>10559.88631631721</v>
      </c>
      <c r="AY16" s="4">
        <f t="shared" si="23"/>
        <v>9498.4731963677223</v>
      </c>
      <c r="AZ16" s="17">
        <f t="shared" si="24"/>
        <v>20058.359512684932</v>
      </c>
      <c r="BA16" s="17">
        <f t="shared" si="25"/>
        <v>10559.88631631721</v>
      </c>
      <c r="BB16" s="4">
        <f t="shared" si="26"/>
        <v>9498.4731963677223</v>
      </c>
      <c r="BC16" s="17">
        <f t="shared" si="27"/>
        <v>20322.436990000002</v>
      </c>
      <c r="BD16" s="17">
        <f t="shared" si="28"/>
        <v>11066.478844094987</v>
      </c>
      <c r="BE16" s="4">
        <f t="shared" si="29"/>
        <v>9255.958145905015</v>
      </c>
      <c r="BF16" s="7"/>
    </row>
    <row r="17" spans="1:58" ht="15" customHeight="1" x14ac:dyDescent="0.3">
      <c r="A17" s="38"/>
      <c r="B17" s="10" t="s">
        <v>9</v>
      </c>
      <c r="C17" s="10" t="s">
        <v>21</v>
      </c>
      <c r="D17" s="17">
        <f t="shared" si="0"/>
        <v>123.80411500657424</v>
      </c>
      <c r="E17" s="17">
        <f t="shared" si="1"/>
        <v>142.51087169150426</v>
      </c>
      <c r="F17" s="4">
        <f t="shared" si="2"/>
        <v>-18.706756684930028</v>
      </c>
      <c r="G17" s="17">
        <v>36959.390366249994</v>
      </c>
      <c r="H17" s="17">
        <v>42543.940789053559</v>
      </c>
      <c r="I17" s="4">
        <f t="shared" si="3"/>
        <v>-5584.5504228035643</v>
      </c>
      <c r="J17" s="17">
        <v>11904.513050000001</v>
      </c>
      <c r="K17" s="17">
        <v>17877.376573204561</v>
      </c>
      <c r="L17" s="4">
        <f t="shared" si="4"/>
        <v>-5972.8635232045599</v>
      </c>
      <c r="M17" s="17">
        <v>30.15719</v>
      </c>
      <c r="N17" s="17">
        <v>45</v>
      </c>
      <c r="O17" s="4">
        <f t="shared" si="5"/>
        <v>-14.84281</v>
      </c>
      <c r="P17" s="17">
        <v>5602.5959800000001</v>
      </c>
      <c r="Q17" s="17">
        <v>6932.6454975347706</v>
      </c>
      <c r="R17" s="4">
        <f t="shared" si="6"/>
        <v>-1330.0495175347705</v>
      </c>
      <c r="S17" s="17">
        <v>3165.6278718808198</v>
      </c>
      <c r="T17" s="17">
        <v>3484.2116945180001</v>
      </c>
      <c r="U17" s="4">
        <f t="shared" si="7"/>
        <v>-318.58382263718022</v>
      </c>
      <c r="V17" s="17">
        <v>388.71765000000005</v>
      </c>
      <c r="W17" s="17">
        <v>840.06123925275961</v>
      </c>
      <c r="X17" s="4">
        <f t="shared" si="8"/>
        <v>-451.34358925275956</v>
      </c>
      <c r="Y17" s="17">
        <v>-106.20039999999973</v>
      </c>
      <c r="Z17" s="17">
        <v>381.30034208840198</v>
      </c>
      <c r="AA17" s="4">
        <f t="shared" si="9"/>
        <v>-487.50074208840169</v>
      </c>
      <c r="AB17" s="17">
        <v>50.152000000000001</v>
      </c>
      <c r="AC17" s="17">
        <v>37.533333333333339</v>
      </c>
      <c r="AD17" s="4">
        <f t="shared" si="10"/>
        <v>12.618666666666662</v>
      </c>
      <c r="AE17" s="17">
        <f t="shared" si="11"/>
        <v>9100.8931018808198</v>
      </c>
      <c r="AF17" s="17">
        <f t="shared" si="12"/>
        <v>11675.752106727265</v>
      </c>
      <c r="AG17" s="4">
        <f t="shared" si="13"/>
        <v>-2574.8590048464448</v>
      </c>
      <c r="AH17" s="17"/>
      <c r="AI17" s="17"/>
      <c r="AJ17" s="4">
        <f t="shared" si="14"/>
        <v>0</v>
      </c>
      <c r="AK17" s="17"/>
      <c r="AL17" s="17"/>
      <c r="AM17" s="4">
        <f t="shared" si="15"/>
        <v>0</v>
      </c>
      <c r="AN17" s="17">
        <f t="shared" si="16"/>
        <v>2833.7771381191815</v>
      </c>
      <c r="AO17" s="17">
        <f t="shared" si="17"/>
        <v>6246.6244664772967</v>
      </c>
      <c r="AP17" s="4">
        <f t="shared" si="18"/>
        <v>-3412.8473283581152</v>
      </c>
      <c r="AQ17" s="17"/>
      <c r="AR17" s="17"/>
      <c r="AS17" s="4">
        <f t="shared" si="19"/>
        <v>0</v>
      </c>
      <c r="AT17" s="17"/>
      <c r="AU17" s="17"/>
      <c r="AV17" s="4">
        <f t="shared" si="20"/>
        <v>0</v>
      </c>
      <c r="AW17" s="17">
        <f t="shared" si="21"/>
        <v>2833.7771381191815</v>
      </c>
      <c r="AX17" s="17">
        <f t="shared" si="22"/>
        <v>6246.6244664772967</v>
      </c>
      <c r="AY17" s="4">
        <f t="shared" si="23"/>
        <v>-3412.8473283581152</v>
      </c>
      <c r="AZ17" s="17">
        <f t="shared" si="24"/>
        <v>2727.5767381191818</v>
      </c>
      <c r="BA17" s="17">
        <f t="shared" si="25"/>
        <v>6627.9248085656982</v>
      </c>
      <c r="BB17" s="4">
        <f t="shared" si="26"/>
        <v>-3900.3480704465164</v>
      </c>
      <c r="BC17" s="17">
        <f t="shared" si="27"/>
        <v>2777.7287381191818</v>
      </c>
      <c r="BD17" s="17">
        <f t="shared" si="28"/>
        <v>6665.4581418990319</v>
      </c>
      <c r="BE17" s="4">
        <f t="shared" si="29"/>
        <v>-3887.7294037798501</v>
      </c>
      <c r="BF17" s="7"/>
    </row>
    <row r="18" spans="1:58" s="20" customFormat="1" ht="15" customHeight="1" x14ac:dyDescent="0.3">
      <c r="A18" s="34" t="s">
        <v>11</v>
      </c>
      <c r="B18" s="35"/>
      <c r="C18" s="36"/>
      <c r="D18" s="18">
        <f>SUM(D9:D17)</f>
        <v>633.15763179586975</v>
      </c>
      <c r="E18" s="18">
        <f>SUM(E9:E17)</f>
        <v>723.36642927568914</v>
      </c>
      <c r="F18" s="19">
        <f>D18-E18</f>
        <v>-90.208797479819395</v>
      </c>
      <c r="G18" s="18">
        <f>SUM(G9:G17)</f>
        <v>189017.3042767705</v>
      </c>
      <c r="H18" s="18">
        <f t="shared" ref="H18" si="47">SUM(H9:H17)</f>
        <v>215947.44436419476</v>
      </c>
      <c r="I18" s="19">
        <f t="shared" si="3"/>
        <v>-26930.140087424254</v>
      </c>
      <c r="J18" s="18">
        <f t="shared" ref="J18:K18" si="48">SUM(J9:J17)</f>
        <v>76705.705571559491</v>
      </c>
      <c r="K18" s="18">
        <f t="shared" si="48"/>
        <v>79353.340516563752</v>
      </c>
      <c r="L18" s="19">
        <f t="shared" si="4"/>
        <v>-2647.6349450042617</v>
      </c>
      <c r="M18" s="18">
        <f t="shared" ref="M18:N18" si="49">SUM(M9:M17)</f>
        <v>389.29419000000001</v>
      </c>
      <c r="N18" s="18">
        <f t="shared" si="49"/>
        <v>587.02466666666669</v>
      </c>
      <c r="O18" s="19">
        <f t="shared" si="5"/>
        <v>-197.73047666666668</v>
      </c>
      <c r="P18" s="18">
        <f t="shared" ref="P18:Q18" si="50">SUM(P9:P17)</f>
        <v>28390.298730000002</v>
      </c>
      <c r="Q18" s="18">
        <f t="shared" si="50"/>
        <v>32590.531074517985</v>
      </c>
      <c r="R18" s="19">
        <f t="shared" si="6"/>
        <v>-4200.2323445179827</v>
      </c>
      <c r="S18" s="18">
        <f t="shared" ref="S18:T18" si="51">SUM(S9:S17)</f>
        <v>14708.201974714153</v>
      </c>
      <c r="T18" s="18">
        <f t="shared" si="51"/>
        <v>16993.521298824948</v>
      </c>
      <c r="U18" s="19">
        <f t="shared" si="7"/>
        <v>-2285.3193241107947</v>
      </c>
      <c r="V18" s="18">
        <f t="shared" ref="V18:W18" si="52">SUM(V9:V17)</f>
        <v>2009.3252200000002</v>
      </c>
      <c r="W18" s="18">
        <f t="shared" si="52"/>
        <v>3227.7262083502378</v>
      </c>
      <c r="X18" s="19">
        <f t="shared" si="8"/>
        <v>-1218.4009883502376</v>
      </c>
      <c r="Y18" s="18">
        <f t="shared" ref="Y18:Z18" si="53">SUM(Y9:Y17)</f>
        <v>233.8760500000003</v>
      </c>
      <c r="Z18" s="18">
        <f t="shared" si="53"/>
        <v>657.08854781840205</v>
      </c>
      <c r="AA18" s="19">
        <f t="shared" si="9"/>
        <v>-423.21249781840174</v>
      </c>
      <c r="AB18" s="18">
        <f t="shared" ref="AB18:AC18" si="54">SUM(AB9:AB17)</f>
        <v>1054.3371473150685</v>
      </c>
      <c r="AC18" s="18">
        <f t="shared" si="54"/>
        <v>1049.7991666666667</v>
      </c>
      <c r="AD18" s="19">
        <f t="shared" si="10"/>
        <v>4.537980648401799</v>
      </c>
      <c r="AE18" s="18">
        <f t="shared" ref="AE18:AF18" si="55">SUM(AE9:AE17)</f>
        <v>46396.039122029222</v>
      </c>
      <c r="AF18" s="18">
        <f t="shared" si="55"/>
        <v>54518.666296178242</v>
      </c>
      <c r="AG18" s="19">
        <f t="shared" si="13"/>
        <v>-8122.62717414902</v>
      </c>
      <c r="AH18" s="18">
        <f t="shared" ref="AH18:AI18" si="56">SUM(AH9:AH17)</f>
        <v>0</v>
      </c>
      <c r="AI18" s="18">
        <f t="shared" si="56"/>
        <v>0</v>
      </c>
      <c r="AJ18" s="19">
        <f t="shared" si="14"/>
        <v>0</v>
      </c>
      <c r="AK18" s="18">
        <f t="shared" ref="AK18:AL18" si="57">SUM(AK9:AK17)</f>
        <v>0</v>
      </c>
      <c r="AL18" s="18">
        <f t="shared" si="57"/>
        <v>0</v>
      </c>
      <c r="AM18" s="19">
        <f t="shared" si="15"/>
        <v>0</v>
      </c>
      <c r="AN18" s="18">
        <f>SUM(AN9:AN17)</f>
        <v>30698.960639530273</v>
      </c>
      <c r="AO18" s="18">
        <f t="shared" ref="AO18" si="58">SUM(AO9:AO17)</f>
        <v>25421.698887052182</v>
      </c>
      <c r="AP18" s="19">
        <f t="shared" si="18"/>
        <v>5277.2617524780908</v>
      </c>
      <c r="AQ18" s="18">
        <f t="shared" ref="AQ18:AR18" si="59">SUM(AQ9:AQ17)</f>
        <v>0</v>
      </c>
      <c r="AR18" s="18">
        <f t="shared" si="59"/>
        <v>0</v>
      </c>
      <c r="AS18" s="19">
        <f t="shared" si="19"/>
        <v>0</v>
      </c>
      <c r="AT18" s="18">
        <f t="shared" ref="AT18:AU18" si="60">SUM(AT9:AT17)</f>
        <v>0</v>
      </c>
      <c r="AU18" s="18">
        <f t="shared" si="60"/>
        <v>0</v>
      </c>
      <c r="AV18" s="19">
        <f t="shared" si="20"/>
        <v>0</v>
      </c>
      <c r="AW18" s="18">
        <f t="shared" ref="AW18:AX18" si="61">SUM(AW9:AW17)</f>
        <v>30698.960639530273</v>
      </c>
      <c r="AX18" s="18">
        <f t="shared" si="61"/>
        <v>25421.698887052182</v>
      </c>
      <c r="AY18" s="19">
        <f t="shared" si="23"/>
        <v>5277.2617524780908</v>
      </c>
      <c r="AZ18" s="18">
        <f t="shared" ref="AZ18:BA18" si="62">SUM(AZ9:AZ17)</f>
        <v>30932.836689530275</v>
      </c>
      <c r="BA18" s="18">
        <f t="shared" si="62"/>
        <v>26078.787434870585</v>
      </c>
      <c r="BB18" s="19">
        <f t="shared" si="26"/>
        <v>4854.0492546596906</v>
      </c>
      <c r="BC18" s="18">
        <f t="shared" ref="BC18:BD18" si="63">SUM(BC9:BC17)</f>
        <v>31987.173836845341</v>
      </c>
      <c r="BD18" s="18">
        <f t="shared" si="63"/>
        <v>27128.586601537245</v>
      </c>
      <c r="BE18" s="19">
        <f t="shared" si="29"/>
        <v>4858.5872353080958</v>
      </c>
      <c r="BF18" s="7"/>
    </row>
    <row r="19" spans="1:58" ht="15" customHeight="1" x14ac:dyDescent="0.3">
      <c r="A19" s="37" t="s">
        <v>22</v>
      </c>
      <c r="B19" s="3" t="s">
        <v>9</v>
      </c>
      <c r="C19" s="10" t="s">
        <v>23</v>
      </c>
      <c r="D19" s="17">
        <f t="shared" si="0"/>
        <v>51.438245887624532</v>
      </c>
      <c r="E19" s="17">
        <f t="shared" si="1"/>
        <v>68.798726438303831</v>
      </c>
      <c r="F19" s="4">
        <f t="shared" si="2"/>
        <v>-17.360480550679299</v>
      </c>
      <c r="G19" s="17">
        <v>15355.921</v>
      </c>
      <c r="H19" s="17">
        <v>20538.565999999999</v>
      </c>
      <c r="I19" s="4">
        <f t="shared" si="3"/>
        <v>-5182.6449999999986</v>
      </c>
      <c r="J19" s="17">
        <v>12658.298000000001</v>
      </c>
      <c r="K19" s="17">
        <v>11570.092000000001</v>
      </c>
      <c r="L19" s="4">
        <f t="shared" si="4"/>
        <v>1088.2060000000001</v>
      </c>
      <c r="M19" s="17">
        <v>167.17400000000001</v>
      </c>
      <c r="N19" s="17">
        <v>41.482999999999997</v>
      </c>
      <c r="O19" s="4">
        <f t="shared" si="5"/>
        <v>125.691</v>
      </c>
      <c r="P19" s="17">
        <v>3448.1080000000002</v>
      </c>
      <c r="Q19" s="17">
        <v>3633.3760000000002</v>
      </c>
      <c r="R19" s="4">
        <f t="shared" si="6"/>
        <v>-185.26800000000003</v>
      </c>
      <c r="S19" s="17">
        <v>1481.98</v>
      </c>
      <c r="T19" s="17">
        <v>1728.069</v>
      </c>
      <c r="U19" s="4">
        <f t="shared" si="7"/>
        <v>-246.08899999999994</v>
      </c>
      <c r="V19" s="17">
        <v>0</v>
      </c>
      <c r="W19" s="17">
        <v>220.488</v>
      </c>
      <c r="X19" s="4">
        <f t="shared" si="8"/>
        <v>-220.488</v>
      </c>
      <c r="Y19" s="17">
        <v>0</v>
      </c>
      <c r="Z19" s="17">
        <v>0</v>
      </c>
      <c r="AA19" s="4">
        <f t="shared" si="9"/>
        <v>0</v>
      </c>
      <c r="AB19" s="17">
        <v>70.465000000000003</v>
      </c>
      <c r="AC19" s="17">
        <v>61.654000000000003</v>
      </c>
      <c r="AD19" s="4">
        <v>8.8109999999999999</v>
      </c>
      <c r="AE19" s="17">
        <f t="shared" si="11"/>
        <v>5000.5529999999999</v>
      </c>
      <c r="AF19" s="17">
        <f t="shared" si="12"/>
        <v>5643.5870000000004</v>
      </c>
      <c r="AG19" s="4">
        <f t="shared" si="13"/>
        <v>-643.03400000000056</v>
      </c>
      <c r="AH19" s="17"/>
      <c r="AI19" s="17"/>
      <c r="AJ19" s="4">
        <f t="shared" si="14"/>
        <v>0</v>
      </c>
      <c r="AK19" s="17"/>
      <c r="AL19" s="17"/>
      <c r="AM19" s="4">
        <f t="shared" si="15"/>
        <v>0</v>
      </c>
      <c r="AN19" s="17">
        <f t="shared" si="16"/>
        <v>7824.9190000000017</v>
      </c>
      <c r="AO19" s="17">
        <f t="shared" si="17"/>
        <v>5967.9880000000003</v>
      </c>
      <c r="AP19" s="4">
        <f t="shared" si="18"/>
        <v>1856.9310000000014</v>
      </c>
      <c r="AQ19" s="17"/>
      <c r="AR19" s="17"/>
      <c r="AS19" s="4">
        <f t="shared" si="19"/>
        <v>0</v>
      </c>
      <c r="AT19" s="17"/>
      <c r="AU19" s="17"/>
      <c r="AV19" s="4">
        <f t="shared" si="20"/>
        <v>0</v>
      </c>
      <c r="AW19" s="17">
        <f t="shared" si="21"/>
        <v>7824.9190000000017</v>
      </c>
      <c r="AX19" s="17">
        <f t="shared" si="22"/>
        <v>5967.9880000000003</v>
      </c>
      <c r="AY19" s="4">
        <f t="shared" si="23"/>
        <v>1856.9310000000014</v>
      </c>
      <c r="AZ19" s="17">
        <f t="shared" si="24"/>
        <v>7824.9190000000017</v>
      </c>
      <c r="BA19" s="17">
        <f t="shared" si="25"/>
        <v>5967.9880000000003</v>
      </c>
      <c r="BB19" s="4">
        <f t="shared" si="26"/>
        <v>1856.9310000000014</v>
      </c>
      <c r="BC19" s="17">
        <f t="shared" si="27"/>
        <v>7895.3840000000018</v>
      </c>
      <c r="BD19" s="17">
        <f t="shared" si="28"/>
        <v>6029.6420000000007</v>
      </c>
      <c r="BE19" s="4">
        <f t="shared" si="29"/>
        <v>1865.7420000000011</v>
      </c>
      <c r="BF19" s="7"/>
    </row>
    <row r="20" spans="1:58" ht="15" customHeight="1" x14ac:dyDescent="0.3">
      <c r="A20" s="32"/>
      <c r="B20" s="10" t="s">
        <v>9</v>
      </c>
      <c r="C20" s="10" t="s">
        <v>24</v>
      </c>
      <c r="D20" s="17">
        <f t="shared" si="0"/>
        <v>0</v>
      </c>
      <c r="E20" s="17">
        <f t="shared" si="1"/>
        <v>0</v>
      </c>
      <c r="F20" s="4">
        <f t="shared" si="2"/>
        <v>0</v>
      </c>
      <c r="G20" s="17">
        <v>0</v>
      </c>
      <c r="H20" s="17">
        <v>0</v>
      </c>
      <c r="I20" s="4">
        <f t="shared" si="3"/>
        <v>0</v>
      </c>
      <c r="J20" s="17">
        <v>0</v>
      </c>
      <c r="K20" s="17">
        <v>0</v>
      </c>
      <c r="L20" s="4">
        <f t="shared" si="4"/>
        <v>0</v>
      </c>
      <c r="M20" s="17">
        <v>2.1699200000000003</v>
      </c>
      <c r="N20" s="17">
        <v>0</v>
      </c>
      <c r="O20" s="4">
        <f t="shared" si="5"/>
        <v>2.1699200000000003</v>
      </c>
      <c r="P20" s="17">
        <v>0</v>
      </c>
      <c r="Q20" s="17">
        <v>0</v>
      </c>
      <c r="R20" s="4">
        <f t="shared" si="6"/>
        <v>0</v>
      </c>
      <c r="S20" s="17">
        <v>2</v>
      </c>
      <c r="T20" s="17">
        <v>0</v>
      </c>
      <c r="U20" s="4">
        <f t="shared" si="7"/>
        <v>2</v>
      </c>
      <c r="V20" s="17">
        <v>0</v>
      </c>
      <c r="W20" s="17">
        <v>0</v>
      </c>
      <c r="X20" s="4">
        <f t="shared" si="8"/>
        <v>0</v>
      </c>
      <c r="Y20" s="17">
        <v>0</v>
      </c>
      <c r="Z20" s="17">
        <v>0</v>
      </c>
      <c r="AA20" s="4">
        <f t="shared" si="9"/>
        <v>0</v>
      </c>
      <c r="AB20" s="17">
        <v>0</v>
      </c>
      <c r="AC20" s="17">
        <v>0</v>
      </c>
      <c r="AD20" s="4">
        <v>0</v>
      </c>
      <c r="AE20" s="17">
        <f t="shared" si="11"/>
        <v>2</v>
      </c>
      <c r="AF20" s="17">
        <f t="shared" si="12"/>
        <v>0</v>
      </c>
      <c r="AG20" s="4">
        <f t="shared" si="13"/>
        <v>2</v>
      </c>
      <c r="AH20" s="17"/>
      <c r="AI20" s="17"/>
      <c r="AJ20" s="4">
        <f t="shared" si="14"/>
        <v>0</v>
      </c>
      <c r="AK20" s="17"/>
      <c r="AL20" s="17"/>
      <c r="AM20" s="4">
        <f t="shared" si="15"/>
        <v>0</v>
      </c>
      <c r="AN20" s="17">
        <f t="shared" si="16"/>
        <v>0.16992000000000029</v>
      </c>
      <c r="AO20" s="17">
        <f t="shared" si="17"/>
        <v>0</v>
      </c>
      <c r="AP20" s="4">
        <f t="shared" si="18"/>
        <v>0.16992000000000029</v>
      </c>
      <c r="AQ20" s="17"/>
      <c r="AR20" s="17"/>
      <c r="AS20" s="4">
        <f t="shared" si="19"/>
        <v>0</v>
      </c>
      <c r="AT20" s="17"/>
      <c r="AU20" s="17"/>
      <c r="AV20" s="4">
        <f t="shared" si="20"/>
        <v>0</v>
      </c>
      <c r="AW20" s="17">
        <f t="shared" si="21"/>
        <v>0.16992000000000029</v>
      </c>
      <c r="AX20" s="17">
        <f t="shared" si="22"/>
        <v>0</v>
      </c>
      <c r="AY20" s="4">
        <f t="shared" si="23"/>
        <v>0.16992000000000029</v>
      </c>
      <c r="AZ20" s="17">
        <f t="shared" si="24"/>
        <v>0.16992000000000029</v>
      </c>
      <c r="BA20" s="17">
        <f t="shared" si="25"/>
        <v>0</v>
      </c>
      <c r="BB20" s="4">
        <f t="shared" si="26"/>
        <v>0.16992000000000029</v>
      </c>
      <c r="BC20" s="17">
        <f t="shared" si="27"/>
        <v>0.16992000000000029</v>
      </c>
      <c r="BD20" s="17">
        <f t="shared" si="28"/>
        <v>0</v>
      </c>
      <c r="BE20" s="4">
        <f t="shared" si="29"/>
        <v>0.16992000000000029</v>
      </c>
      <c r="BF20" s="7"/>
    </row>
    <row r="21" spans="1:58" ht="15" customHeight="1" x14ac:dyDescent="0.3">
      <c r="A21" s="32"/>
      <c r="B21" s="10" t="s">
        <v>9</v>
      </c>
      <c r="C21" s="10" t="s">
        <v>25</v>
      </c>
      <c r="D21" s="17">
        <f t="shared" si="0"/>
        <v>43.869352988536328</v>
      </c>
      <c r="E21" s="17">
        <f t="shared" si="1"/>
        <v>89.29658568325307</v>
      </c>
      <c r="F21" s="4">
        <f t="shared" si="2"/>
        <v>-45.427232694716743</v>
      </c>
      <c r="G21" s="17">
        <v>13096.370359999999</v>
      </c>
      <c r="H21" s="17">
        <v>26657.816409942319</v>
      </c>
      <c r="I21" s="4">
        <f t="shared" si="3"/>
        <v>-13561.44604994232</v>
      </c>
      <c r="J21" s="17">
        <v>2185.2553799999991</v>
      </c>
      <c r="K21" s="17">
        <v>4911.1036982893575</v>
      </c>
      <c r="L21" s="4">
        <f t="shared" si="4"/>
        <v>-2725.8483182893583</v>
      </c>
      <c r="M21" s="17">
        <v>147.20849999999999</v>
      </c>
      <c r="N21" s="17">
        <v>105.46</v>
      </c>
      <c r="O21" s="4">
        <f t="shared" si="5"/>
        <v>41.748499999999993</v>
      </c>
      <c r="P21" s="17">
        <v>2378.8330199999996</v>
      </c>
      <c r="Q21" s="17">
        <v>2806.1674076333334</v>
      </c>
      <c r="R21" s="4">
        <f t="shared" si="6"/>
        <v>-427.33438763333379</v>
      </c>
      <c r="S21" s="17">
        <v>934.80985999999984</v>
      </c>
      <c r="T21" s="17">
        <v>1005.7766879858334</v>
      </c>
      <c r="U21" s="4">
        <f t="shared" si="7"/>
        <v>-70.966827985833561</v>
      </c>
      <c r="V21" s="17">
        <v>664.23757000000001</v>
      </c>
      <c r="W21" s="17">
        <v>567.26784294907202</v>
      </c>
      <c r="X21" s="4">
        <f t="shared" si="8"/>
        <v>96.969727050927986</v>
      </c>
      <c r="Y21" s="17">
        <v>275.52782999999999</v>
      </c>
      <c r="Z21" s="17">
        <v>197.47761000000003</v>
      </c>
      <c r="AA21" s="4">
        <f t="shared" si="9"/>
        <v>78.050219999999968</v>
      </c>
      <c r="AB21" s="17">
        <v>250.20361</v>
      </c>
      <c r="AC21" s="17">
        <v>252.64003808333331</v>
      </c>
      <c r="AD21" s="4">
        <v>-2.4364280833333112</v>
      </c>
      <c r="AE21" s="17">
        <f t="shared" si="11"/>
        <v>4503.6118899999992</v>
      </c>
      <c r="AF21" s="17">
        <f t="shared" si="12"/>
        <v>4829.3295866515709</v>
      </c>
      <c r="AG21" s="4">
        <f t="shared" si="13"/>
        <v>-325.71769665157171</v>
      </c>
      <c r="AH21" s="17"/>
      <c r="AI21" s="17"/>
      <c r="AJ21" s="4">
        <f t="shared" si="14"/>
        <v>0</v>
      </c>
      <c r="AK21" s="17"/>
      <c r="AL21" s="17"/>
      <c r="AM21" s="4">
        <f t="shared" si="15"/>
        <v>0</v>
      </c>
      <c r="AN21" s="17">
        <f t="shared" si="16"/>
        <v>-2171.1480099999999</v>
      </c>
      <c r="AO21" s="17">
        <f t="shared" si="17"/>
        <v>187.23411163778655</v>
      </c>
      <c r="AP21" s="4">
        <f t="shared" si="18"/>
        <v>-2358.3821216377864</v>
      </c>
      <c r="AQ21" s="17"/>
      <c r="AR21" s="17"/>
      <c r="AS21" s="4">
        <f t="shared" si="19"/>
        <v>0</v>
      </c>
      <c r="AT21" s="17"/>
      <c r="AU21" s="17"/>
      <c r="AV21" s="4">
        <f t="shared" si="20"/>
        <v>0</v>
      </c>
      <c r="AW21" s="17">
        <f t="shared" si="21"/>
        <v>-2171.1480099999999</v>
      </c>
      <c r="AX21" s="17">
        <f t="shared" si="22"/>
        <v>187.23411163778655</v>
      </c>
      <c r="AY21" s="4">
        <f t="shared" si="23"/>
        <v>-2358.3821216377864</v>
      </c>
      <c r="AZ21" s="17">
        <f t="shared" si="24"/>
        <v>-1895.6201799999999</v>
      </c>
      <c r="BA21" s="17">
        <f t="shared" si="25"/>
        <v>384.71172163778658</v>
      </c>
      <c r="BB21" s="4">
        <f t="shared" si="26"/>
        <v>-2280.3319016377864</v>
      </c>
      <c r="BC21" s="17">
        <f t="shared" si="27"/>
        <v>-1645.4165699999999</v>
      </c>
      <c r="BD21" s="17">
        <f t="shared" si="28"/>
        <v>637.35175972111983</v>
      </c>
      <c r="BE21" s="4">
        <f t="shared" si="29"/>
        <v>-2282.7683297211197</v>
      </c>
      <c r="BF21" s="7"/>
    </row>
    <row r="22" spans="1:58" ht="15" customHeight="1" x14ac:dyDescent="0.3">
      <c r="A22" s="32"/>
      <c r="B22" s="10" t="s">
        <v>10</v>
      </c>
      <c r="C22" s="10" t="s">
        <v>26</v>
      </c>
      <c r="D22" s="17">
        <f t="shared" si="0"/>
        <v>184.90477703229365</v>
      </c>
      <c r="E22" s="17">
        <f t="shared" si="1"/>
        <v>183.64010517670144</v>
      </c>
      <c r="F22" s="4">
        <f t="shared" si="2"/>
        <v>1.2646718555922121</v>
      </c>
      <c r="G22" s="17">
        <v>55199.844000000005</v>
      </c>
      <c r="H22" s="17">
        <v>54822.3</v>
      </c>
      <c r="I22" s="4">
        <f t="shared" si="3"/>
        <v>377.54400000000169</v>
      </c>
      <c r="J22" s="17">
        <v>36905.416000000005</v>
      </c>
      <c r="K22" s="17">
        <v>15992.8</v>
      </c>
      <c r="L22" s="4">
        <f t="shared" si="4"/>
        <v>20912.616000000005</v>
      </c>
      <c r="M22" s="17">
        <v>90.893000000000001</v>
      </c>
      <c r="N22" s="17">
        <v>231.202963295693</v>
      </c>
      <c r="O22" s="4">
        <f t="shared" si="5"/>
        <v>-140.309963295693</v>
      </c>
      <c r="P22" s="17">
        <v>3741.1019999999999</v>
      </c>
      <c r="Q22" s="17">
        <v>5238.4950367396823</v>
      </c>
      <c r="R22" s="4">
        <f t="shared" si="6"/>
        <v>-1497.3930367396824</v>
      </c>
      <c r="S22" s="17">
        <v>2775.2950000000001</v>
      </c>
      <c r="T22" s="17">
        <v>4523.9441439478578</v>
      </c>
      <c r="U22" s="4">
        <f t="shared" si="7"/>
        <v>-1748.6491439478577</v>
      </c>
      <c r="V22" s="17">
        <v>50.345999999999997</v>
      </c>
      <c r="W22" s="17">
        <v>455.91667000000001</v>
      </c>
      <c r="X22" s="4">
        <f t="shared" si="8"/>
        <v>-405.57067000000001</v>
      </c>
      <c r="Y22" s="17">
        <v>0</v>
      </c>
      <c r="Z22" s="17">
        <v>0</v>
      </c>
      <c r="AA22" s="4">
        <f t="shared" si="9"/>
        <v>0</v>
      </c>
      <c r="AB22" s="17">
        <v>279.50200000000001</v>
      </c>
      <c r="AC22" s="17">
        <v>559.07526131944439</v>
      </c>
      <c r="AD22" s="4">
        <v>-279.57326131944438</v>
      </c>
      <c r="AE22" s="17">
        <f t="shared" si="11"/>
        <v>6846.2449999999999</v>
      </c>
      <c r="AF22" s="17">
        <f t="shared" si="12"/>
        <v>10777.431112006983</v>
      </c>
      <c r="AG22" s="4">
        <f t="shared" si="13"/>
        <v>-3931.1861120069834</v>
      </c>
      <c r="AH22" s="17"/>
      <c r="AI22" s="17"/>
      <c r="AJ22" s="4">
        <f t="shared" si="14"/>
        <v>0</v>
      </c>
      <c r="AK22" s="17"/>
      <c r="AL22" s="17"/>
      <c r="AM22" s="4">
        <f t="shared" si="15"/>
        <v>0</v>
      </c>
      <c r="AN22" s="17">
        <f t="shared" si="16"/>
        <v>30150.064000000002</v>
      </c>
      <c r="AO22" s="17">
        <f t="shared" si="17"/>
        <v>5446.5718512887088</v>
      </c>
      <c r="AP22" s="4">
        <f t="shared" si="18"/>
        <v>24703.492148711295</v>
      </c>
      <c r="AQ22" s="17"/>
      <c r="AR22" s="17"/>
      <c r="AS22" s="4">
        <f t="shared" si="19"/>
        <v>0</v>
      </c>
      <c r="AT22" s="17"/>
      <c r="AU22" s="17"/>
      <c r="AV22" s="4">
        <f t="shared" si="20"/>
        <v>0</v>
      </c>
      <c r="AW22" s="17">
        <f t="shared" si="21"/>
        <v>30150.064000000002</v>
      </c>
      <c r="AX22" s="17">
        <f t="shared" si="22"/>
        <v>5446.5718512887088</v>
      </c>
      <c r="AY22" s="4">
        <f t="shared" si="23"/>
        <v>24703.492148711295</v>
      </c>
      <c r="AZ22" s="17">
        <f t="shared" si="24"/>
        <v>30150.064000000002</v>
      </c>
      <c r="BA22" s="17">
        <f t="shared" si="25"/>
        <v>5446.5718512887088</v>
      </c>
      <c r="BB22" s="4">
        <f t="shared" si="26"/>
        <v>24703.492148711295</v>
      </c>
      <c r="BC22" s="17">
        <f t="shared" si="27"/>
        <v>30429.566000000003</v>
      </c>
      <c r="BD22" s="17">
        <f t="shared" si="28"/>
        <v>6005.6471126081533</v>
      </c>
      <c r="BE22" s="4">
        <f t="shared" si="29"/>
        <v>24423.91888739185</v>
      </c>
      <c r="BF22" s="7"/>
    </row>
    <row r="23" spans="1:58" ht="15" customHeight="1" x14ac:dyDescent="0.3">
      <c r="A23" s="32"/>
      <c r="B23" s="10" t="s">
        <v>9</v>
      </c>
      <c r="C23" s="10" t="s">
        <v>27</v>
      </c>
      <c r="D23" s="17">
        <f t="shared" si="0"/>
        <v>209.66780927258125</v>
      </c>
      <c r="E23" s="17">
        <f t="shared" si="1"/>
        <v>133.15444216413832</v>
      </c>
      <c r="F23" s="4">
        <f t="shared" si="2"/>
        <v>76.513367108442935</v>
      </c>
      <c r="G23" s="17">
        <v>62592.381600000001</v>
      </c>
      <c r="H23" s="17">
        <v>39750.754703777937</v>
      </c>
      <c r="I23" s="4">
        <f t="shared" si="3"/>
        <v>22841.626896222064</v>
      </c>
      <c r="J23" s="17">
        <v>7522.3160600000028</v>
      </c>
      <c r="K23" s="17">
        <v>4770.2716769720764</v>
      </c>
      <c r="L23" s="4">
        <f t="shared" si="4"/>
        <v>2752.0443830279264</v>
      </c>
      <c r="M23" s="17">
        <v>377.01742000000002</v>
      </c>
      <c r="N23" s="17">
        <v>0</v>
      </c>
      <c r="O23" s="4">
        <f t="shared" si="5"/>
        <v>377.01742000000002</v>
      </c>
      <c r="P23" s="17">
        <v>2861.4581499999999</v>
      </c>
      <c r="Q23" s="17">
        <v>3171.404765151191</v>
      </c>
      <c r="R23" s="4">
        <f t="shared" si="6"/>
        <v>-309.94661515119105</v>
      </c>
      <c r="S23" s="17">
        <v>2942.4530099999997</v>
      </c>
      <c r="T23" s="17">
        <v>3378.8348967816382</v>
      </c>
      <c r="U23" s="4">
        <f t="shared" si="7"/>
        <v>-436.38188678163851</v>
      </c>
      <c r="V23" s="17">
        <v>0</v>
      </c>
      <c r="W23" s="17">
        <v>0</v>
      </c>
      <c r="X23" s="4">
        <f t="shared" si="8"/>
        <v>0</v>
      </c>
      <c r="Y23" s="17">
        <v>0</v>
      </c>
      <c r="Z23" s="17">
        <v>0</v>
      </c>
      <c r="AA23" s="4">
        <f t="shared" si="9"/>
        <v>0</v>
      </c>
      <c r="AB23" s="17">
        <v>222.65996000000001</v>
      </c>
      <c r="AC23" s="17">
        <v>178.41637268378281</v>
      </c>
      <c r="AD23" s="4">
        <v>44.243587316217202</v>
      </c>
      <c r="AE23" s="17">
        <f t="shared" si="11"/>
        <v>6026.5711199999996</v>
      </c>
      <c r="AF23" s="17">
        <f t="shared" si="12"/>
        <v>6728.6560346166116</v>
      </c>
      <c r="AG23" s="4">
        <f t="shared" si="13"/>
        <v>-702.08491461661197</v>
      </c>
      <c r="AH23" s="17"/>
      <c r="AI23" s="17"/>
      <c r="AJ23" s="4">
        <f t="shared" si="14"/>
        <v>0</v>
      </c>
      <c r="AK23" s="17"/>
      <c r="AL23" s="17"/>
      <c r="AM23" s="4">
        <f t="shared" si="15"/>
        <v>0</v>
      </c>
      <c r="AN23" s="17">
        <f t="shared" si="16"/>
        <v>1872.7623600000034</v>
      </c>
      <c r="AO23" s="17">
        <f t="shared" si="17"/>
        <v>-1958.3843576445352</v>
      </c>
      <c r="AP23" s="4">
        <f t="shared" si="18"/>
        <v>3831.1467176445385</v>
      </c>
      <c r="AQ23" s="17"/>
      <c r="AR23" s="17"/>
      <c r="AS23" s="4">
        <f t="shared" si="19"/>
        <v>0</v>
      </c>
      <c r="AT23" s="17"/>
      <c r="AU23" s="17"/>
      <c r="AV23" s="4">
        <f t="shared" si="20"/>
        <v>0</v>
      </c>
      <c r="AW23" s="17">
        <f t="shared" si="21"/>
        <v>1872.7623600000034</v>
      </c>
      <c r="AX23" s="17">
        <f t="shared" si="22"/>
        <v>-1958.3843576445352</v>
      </c>
      <c r="AY23" s="4">
        <f t="shared" si="23"/>
        <v>3831.1467176445385</v>
      </c>
      <c r="AZ23" s="17">
        <f t="shared" si="24"/>
        <v>1872.7623600000034</v>
      </c>
      <c r="BA23" s="17">
        <f t="shared" si="25"/>
        <v>-1958.3843576445352</v>
      </c>
      <c r="BB23" s="4">
        <f t="shared" si="26"/>
        <v>3831.1467176445385</v>
      </c>
      <c r="BC23" s="17">
        <f t="shared" si="27"/>
        <v>2095.4223200000033</v>
      </c>
      <c r="BD23" s="17">
        <f t="shared" si="28"/>
        <v>-1779.9679849607523</v>
      </c>
      <c r="BE23" s="4">
        <f t="shared" si="29"/>
        <v>3875.3903049607557</v>
      </c>
      <c r="BF23" s="7"/>
    </row>
    <row r="24" spans="1:58" ht="15" customHeight="1" x14ac:dyDescent="0.3">
      <c r="A24" s="32"/>
      <c r="B24" s="10" t="s">
        <v>9</v>
      </c>
      <c r="C24" s="10" t="s">
        <v>28</v>
      </c>
      <c r="D24" s="17">
        <f t="shared" si="0"/>
        <v>25.701920386456315</v>
      </c>
      <c r="E24" s="17">
        <f t="shared" si="1"/>
        <v>65.616258352054103</v>
      </c>
      <c r="F24" s="4">
        <f t="shared" si="2"/>
        <v>-39.914337965597788</v>
      </c>
      <c r="G24" s="17">
        <v>7672.8249999999998</v>
      </c>
      <c r="H24" s="17">
        <v>19588.5</v>
      </c>
      <c r="I24" s="4">
        <f t="shared" si="3"/>
        <v>-11915.674999999999</v>
      </c>
      <c r="J24" s="17">
        <v>6277.6019999999999</v>
      </c>
      <c r="K24" s="17">
        <v>15756.041333333334</v>
      </c>
      <c r="L24" s="4">
        <f t="shared" si="4"/>
        <v>-9478.4393333333355</v>
      </c>
      <c r="M24" s="17">
        <v>10.111889999999999</v>
      </c>
      <c r="N24" s="17">
        <v>0</v>
      </c>
      <c r="O24" s="4">
        <f t="shared" si="5"/>
        <v>10.111889999999999</v>
      </c>
      <c r="P24" s="17">
        <v>7367.7929999999997</v>
      </c>
      <c r="Q24" s="17">
        <v>8572.5547823333327</v>
      </c>
      <c r="R24" s="4">
        <f t="shared" si="6"/>
        <v>-1204.761782333333</v>
      </c>
      <c r="S24" s="17">
        <v>3112.4520000000002</v>
      </c>
      <c r="T24" s="17">
        <v>4394.480276245371</v>
      </c>
      <c r="U24" s="4">
        <f t="shared" si="7"/>
        <v>-1282.0282762453708</v>
      </c>
      <c r="V24" s="17">
        <v>969.73900000000003</v>
      </c>
      <c r="W24" s="17">
        <v>1760</v>
      </c>
      <c r="X24" s="4">
        <f t="shared" si="8"/>
        <v>-790.26099999999997</v>
      </c>
      <c r="Y24" s="17">
        <v>0</v>
      </c>
      <c r="Z24" s="17">
        <v>0</v>
      </c>
      <c r="AA24" s="4">
        <f t="shared" si="9"/>
        <v>0</v>
      </c>
      <c r="AB24" s="17">
        <v>263.64800000000002</v>
      </c>
      <c r="AC24" s="17">
        <v>519.51036259027785</v>
      </c>
      <c r="AD24" s="4">
        <v>-255.86236259027783</v>
      </c>
      <c r="AE24" s="17">
        <f t="shared" si="11"/>
        <v>11713.631999999998</v>
      </c>
      <c r="AF24" s="17">
        <f t="shared" si="12"/>
        <v>15246.545421168981</v>
      </c>
      <c r="AG24" s="4">
        <f t="shared" si="13"/>
        <v>-3532.9134211689834</v>
      </c>
      <c r="AH24" s="17"/>
      <c r="AI24" s="17"/>
      <c r="AJ24" s="4">
        <f t="shared" si="14"/>
        <v>0</v>
      </c>
      <c r="AK24" s="17"/>
      <c r="AL24" s="17"/>
      <c r="AM24" s="4">
        <f t="shared" si="15"/>
        <v>0</v>
      </c>
      <c r="AN24" s="17">
        <f t="shared" si="16"/>
        <v>-5425.9181099999978</v>
      </c>
      <c r="AO24" s="17">
        <f t="shared" si="17"/>
        <v>509.49591216435329</v>
      </c>
      <c r="AP24" s="4">
        <f t="shared" si="18"/>
        <v>-5935.4140221643511</v>
      </c>
      <c r="AQ24" s="17"/>
      <c r="AR24" s="17"/>
      <c r="AS24" s="4">
        <f t="shared" si="19"/>
        <v>0</v>
      </c>
      <c r="AT24" s="17"/>
      <c r="AU24" s="17"/>
      <c r="AV24" s="4">
        <f t="shared" si="20"/>
        <v>0</v>
      </c>
      <c r="AW24" s="17">
        <f t="shared" si="21"/>
        <v>-5425.9181099999978</v>
      </c>
      <c r="AX24" s="17">
        <f t="shared" si="22"/>
        <v>509.49591216435329</v>
      </c>
      <c r="AY24" s="4">
        <f t="shared" si="23"/>
        <v>-5935.4140221643511</v>
      </c>
      <c r="AZ24" s="17">
        <f t="shared" si="24"/>
        <v>-5425.9181099999978</v>
      </c>
      <c r="BA24" s="17">
        <f t="shared" si="25"/>
        <v>509.49591216435329</v>
      </c>
      <c r="BB24" s="4">
        <f t="shared" si="26"/>
        <v>-5935.4140221643511</v>
      </c>
      <c r="BC24" s="17">
        <f t="shared" si="27"/>
        <v>-5162.2701099999977</v>
      </c>
      <c r="BD24" s="17">
        <f t="shared" si="28"/>
        <v>1029.0062747546312</v>
      </c>
      <c r="BE24" s="4">
        <f t="shared" si="29"/>
        <v>-6191.2763847546285</v>
      </c>
      <c r="BF24" s="7"/>
    </row>
    <row r="25" spans="1:58" s="20" customFormat="1" ht="15" customHeight="1" x14ac:dyDescent="0.3">
      <c r="A25" s="34" t="s">
        <v>11</v>
      </c>
      <c r="B25" s="35"/>
      <c r="C25" s="36"/>
      <c r="D25" s="18">
        <f>SUM(D19:D24)</f>
        <v>515.58210556749214</v>
      </c>
      <c r="E25" s="18">
        <f>SUM(E19:E24)</f>
        <v>540.50611781445082</v>
      </c>
      <c r="F25" s="19">
        <f t="shared" si="2"/>
        <v>-24.924012246958682</v>
      </c>
      <c r="G25" s="18">
        <f>SUM(G19:G24)</f>
        <v>153917.34196000002</v>
      </c>
      <c r="H25" s="18">
        <f>SUM(H19:H24)</f>
        <v>161357.93711372025</v>
      </c>
      <c r="I25" s="19">
        <f t="shared" si="3"/>
        <v>-7440.5951537202345</v>
      </c>
      <c r="J25" s="18">
        <f>SUM(J19:J24)</f>
        <v>65548.887440000006</v>
      </c>
      <c r="K25" s="18">
        <f>SUM(K19:K24)</f>
        <v>53000.30870859477</v>
      </c>
      <c r="L25" s="19">
        <f t="shared" si="4"/>
        <v>12548.578731405236</v>
      </c>
      <c r="M25" s="18">
        <f>SUM(M19:M24)</f>
        <v>794.57473000000005</v>
      </c>
      <c r="N25" s="18">
        <f>SUM(N19:N24)</f>
        <v>378.14596329569298</v>
      </c>
      <c r="O25" s="19">
        <f t="shared" si="5"/>
        <v>416.42876670430707</v>
      </c>
      <c r="P25" s="18">
        <f>SUM(P19:P24)</f>
        <v>19797.294170000001</v>
      </c>
      <c r="Q25" s="18">
        <f>SUM(Q19:Q24)</f>
        <v>23421.997991857537</v>
      </c>
      <c r="R25" s="19">
        <f t="shared" si="6"/>
        <v>-3624.7038218575362</v>
      </c>
      <c r="S25" s="18">
        <f>SUM(S19:S24)</f>
        <v>11248.989870000001</v>
      </c>
      <c r="T25" s="18">
        <f>SUM(T19:T24)</f>
        <v>15031.1050049607</v>
      </c>
      <c r="U25" s="19">
        <f t="shared" si="7"/>
        <v>-3782.1151349606989</v>
      </c>
      <c r="V25" s="18">
        <f>SUM(V19:V24)</f>
        <v>1684.32257</v>
      </c>
      <c r="W25" s="18">
        <f>SUM(W19:W24)</f>
        <v>3003.6725129490724</v>
      </c>
      <c r="X25" s="19">
        <f t="shared" si="8"/>
        <v>-1319.3499429490723</v>
      </c>
      <c r="Y25" s="18">
        <f>SUM(Y19:Y24)</f>
        <v>275.52782999999999</v>
      </c>
      <c r="Z25" s="18">
        <f>SUM(Z19:Z24)</f>
        <v>197.47761000000003</v>
      </c>
      <c r="AA25" s="19">
        <f t="shared" si="9"/>
        <v>78.050219999999968</v>
      </c>
      <c r="AB25" s="18">
        <f>SUM(AB19:AB24)</f>
        <v>1086.4785700000002</v>
      </c>
      <c r="AC25" s="18">
        <f>SUM(AC19:AC24)</f>
        <v>1571.2960346768382</v>
      </c>
      <c r="AD25" s="19">
        <f t="shared" si="10"/>
        <v>-484.81746467683797</v>
      </c>
      <c r="AE25" s="18">
        <f>SUM(AE19:AE24)</f>
        <v>34092.613010000001</v>
      </c>
      <c r="AF25" s="18">
        <f>SUM(AF19:AF24)</f>
        <v>43225.549154444147</v>
      </c>
      <c r="AG25" s="19">
        <f t="shared" si="13"/>
        <v>-9132.9361444441456</v>
      </c>
      <c r="AH25" s="18">
        <f>SUM(AH19:AH24)</f>
        <v>0</v>
      </c>
      <c r="AI25" s="18">
        <f>SUM(AI19:AI24)</f>
        <v>0</v>
      </c>
      <c r="AJ25" s="19">
        <f t="shared" si="14"/>
        <v>0</v>
      </c>
      <c r="AK25" s="18">
        <f>SUM(AK19:AK24)</f>
        <v>0</v>
      </c>
      <c r="AL25" s="18">
        <f>SUM(AL19:AL24)</f>
        <v>0</v>
      </c>
      <c r="AM25" s="19">
        <f t="shared" si="15"/>
        <v>0</v>
      </c>
      <c r="AN25" s="18">
        <f>SUM(AN19:AN24)</f>
        <v>32250.849160000005</v>
      </c>
      <c r="AO25" s="18">
        <f>SUM(AO19:AO24)</f>
        <v>10152.905517446312</v>
      </c>
      <c r="AP25" s="19">
        <f t="shared" si="18"/>
        <v>22097.943642553691</v>
      </c>
      <c r="AQ25" s="18">
        <f>SUM(AQ19:AQ24)</f>
        <v>0</v>
      </c>
      <c r="AR25" s="18">
        <f>SUM(AR19:AR24)</f>
        <v>0</v>
      </c>
      <c r="AS25" s="19">
        <f t="shared" si="19"/>
        <v>0</v>
      </c>
      <c r="AT25" s="18">
        <f>SUM(AT19:AT24)</f>
        <v>0</v>
      </c>
      <c r="AU25" s="18">
        <f>SUM(AU19:AU24)</f>
        <v>0</v>
      </c>
      <c r="AV25" s="19">
        <f t="shared" si="20"/>
        <v>0</v>
      </c>
      <c r="AW25" s="18">
        <f>SUM(AW19:AW24)</f>
        <v>32250.849160000005</v>
      </c>
      <c r="AX25" s="18">
        <f>SUM(AX19:AX24)</f>
        <v>10152.905517446312</v>
      </c>
      <c r="AY25" s="19">
        <f t="shared" si="23"/>
        <v>22097.943642553691</v>
      </c>
      <c r="AZ25" s="18">
        <f>SUM(AZ19:AZ24)</f>
        <v>32526.376990000004</v>
      </c>
      <c r="BA25" s="18">
        <f>SUM(BA19:BA24)</f>
        <v>10350.383127446314</v>
      </c>
      <c r="BB25" s="19">
        <f t="shared" si="26"/>
        <v>22175.993862553689</v>
      </c>
      <c r="BC25" s="18">
        <f>SUM(BC19:BC24)</f>
        <v>33612.855560000011</v>
      </c>
      <c r="BD25" s="18">
        <f>SUM(BD19:BD24)</f>
        <v>11921.679162123151</v>
      </c>
      <c r="BE25" s="19">
        <f t="shared" si="29"/>
        <v>21691.176397876858</v>
      </c>
      <c r="BF25" s="7"/>
    </row>
    <row r="26" spans="1:58" ht="15" customHeight="1" x14ac:dyDescent="0.3">
      <c r="A26" s="32" t="s">
        <v>82</v>
      </c>
      <c r="B26" s="10" t="s">
        <v>10</v>
      </c>
      <c r="C26" s="10" t="s">
        <v>29</v>
      </c>
      <c r="D26" s="17">
        <f t="shared" si="0"/>
        <v>265.58278306523454</v>
      </c>
      <c r="E26" s="17">
        <f>H26/$F$1</f>
        <v>304.6052463299834</v>
      </c>
      <c r="F26" s="4">
        <f t="shared" si="2"/>
        <v>-39.022463264748865</v>
      </c>
      <c r="G26" s="17">
        <v>79284.74553</v>
      </c>
      <c r="H26" s="17">
        <v>90934.168109999999</v>
      </c>
      <c r="I26" s="4">
        <f t="shared" si="3"/>
        <v>-11649.422579999999</v>
      </c>
      <c r="J26" s="17">
        <v>79284.74553</v>
      </c>
      <c r="K26" s="17">
        <v>90934.168109999999</v>
      </c>
      <c r="L26" s="4">
        <f t="shared" si="4"/>
        <v>-11649.422579999999</v>
      </c>
      <c r="M26" s="17">
        <v>480.2457</v>
      </c>
      <c r="N26" s="17">
        <v>287.36599999999999</v>
      </c>
      <c r="O26" s="4">
        <f t="shared" si="5"/>
        <v>192.87970000000001</v>
      </c>
      <c r="P26" s="17">
        <v>26726.725989999999</v>
      </c>
      <c r="Q26" s="17">
        <v>29687.54423</v>
      </c>
      <c r="R26" s="4">
        <f t="shared" si="6"/>
        <v>-2960.8182400000005</v>
      </c>
      <c r="S26" s="17">
        <v>25905.181539999998</v>
      </c>
      <c r="T26" s="17">
        <v>35922.700340000003</v>
      </c>
      <c r="U26" s="4">
        <f t="shared" si="7"/>
        <v>-10017.518800000005</v>
      </c>
      <c r="V26" s="17">
        <v>1234.8161599999999</v>
      </c>
      <c r="W26" s="17">
        <v>1827.2625800000001</v>
      </c>
      <c r="X26" s="4">
        <f t="shared" si="8"/>
        <v>-592.44642000000022</v>
      </c>
      <c r="Y26" s="17">
        <v>383.78345000000002</v>
      </c>
      <c r="Z26" s="17">
        <v>383.78300000000002</v>
      </c>
      <c r="AA26" s="4">
        <f t="shared" si="9"/>
        <v>4.500000000007276E-4</v>
      </c>
      <c r="AB26" s="17">
        <v>1924.6042399999999</v>
      </c>
      <c r="AC26" s="17">
        <v>2448.2903700000002</v>
      </c>
      <c r="AD26" s="4">
        <f t="shared" si="10"/>
        <v>-523.68613000000028</v>
      </c>
      <c r="AE26" s="17">
        <f t="shared" si="11"/>
        <v>56175.111380000002</v>
      </c>
      <c r="AF26" s="17">
        <f t="shared" si="12"/>
        <v>70269.580520000003</v>
      </c>
      <c r="AG26" s="4">
        <f t="shared" si="13"/>
        <v>-14094.469140000001</v>
      </c>
      <c r="AH26" s="17"/>
      <c r="AI26" s="17"/>
      <c r="AJ26" s="4">
        <f t="shared" si="14"/>
        <v>0</v>
      </c>
      <c r="AK26" s="17"/>
      <c r="AL26" s="17"/>
      <c r="AM26" s="4">
        <f t="shared" si="15"/>
        <v>0</v>
      </c>
      <c r="AN26" s="17">
        <f t="shared" si="16"/>
        <v>23589.879849999998</v>
      </c>
      <c r="AO26" s="17">
        <f t="shared" si="17"/>
        <v>20951.95358999999</v>
      </c>
      <c r="AP26" s="4">
        <f t="shared" si="18"/>
        <v>2637.9262600000075</v>
      </c>
      <c r="AQ26" s="17"/>
      <c r="AR26" s="17"/>
      <c r="AS26" s="4">
        <f t="shared" si="19"/>
        <v>0</v>
      </c>
      <c r="AT26" s="17"/>
      <c r="AU26" s="17"/>
      <c r="AV26" s="4">
        <f t="shared" si="20"/>
        <v>0</v>
      </c>
      <c r="AW26" s="17">
        <f t="shared" si="21"/>
        <v>23589.879849999998</v>
      </c>
      <c r="AX26" s="17">
        <f t="shared" si="22"/>
        <v>20951.95358999999</v>
      </c>
      <c r="AY26" s="4">
        <f t="shared" si="23"/>
        <v>2637.9262600000075</v>
      </c>
      <c r="AZ26" s="17">
        <f t="shared" si="24"/>
        <v>23973.663299999997</v>
      </c>
      <c r="BA26" s="17">
        <f t="shared" si="25"/>
        <v>21335.73658999999</v>
      </c>
      <c r="BB26" s="4">
        <f t="shared" si="26"/>
        <v>2637.926710000007</v>
      </c>
      <c r="BC26" s="17">
        <f t="shared" si="27"/>
        <v>25898.267539999997</v>
      </c>
      <c r="BD26" s="17">
        <f t="shared" si="28"/>
        <v>23784.026959999988</v>
      </c>
      <c r="BE26" s="4">
        <f t="shared" si="29"/>
        <v>2114.2405800000088</v>
      </c>
      <c r="BF26" s="7"/>
    </row>
    <row r="27" spans="1:58" ht="15" customHeight="1" x14ac:dyDescent="0.3">
      <c r="A27" s="32"/>
      <c r="B27" s="10" t="s">
        <v>10</v>
      </c>
      <c r="C27" s="10" t="s">
        <v>30</v>
      </c>
      <c r="D27" s="17">
        <f t="shared" si="0"/>
        <v>110.11916348969405</v>
      </c>
      <c r="E27" s="17">
        <f t="shared" si="1"/>
        <v>143.36562277093961</v>
      </c>
      <c r="F27" s="4">
        <f t="shared" si="2"/>
        <v>-33.246459281245563</v>
      </c>
      <c r="G27" s="17">
        <v>32874.005439999994</v>
      </c>
      <c r="H27" s="17">
        <v>42799.110650000002</v>
      </c>
      <c r="I27" s="4">
        <f t="shared" si="3"/>
        <v>-9925.1052100000088</v>
      </c>
      <c r="J27" s="17">
        <v>32874.005439999994</v>
      </c>
      <c r="K27" s="17">
        <v>42799.110650000002</v>
      </c>
      <c r="L27" s="4">
        <f t="shared" si="4"/>
        <v>-9925.1052100000088</v>
      </c>
      <c r="M27" s="17">
        <v>429.49909000000002</v>
      </c>
      <c r="N27" s="17">
        <v>120</v>
      </c>
      <c r="O27" s="4">
        <f t="shared" si="5"/>
        <v>309.49909000000002</v>
      </c>
      <c r="P27" s="17">
        <v>16286.843769999999</v>
      </c>
      <c r="Q27" s="17">
        <v>19673.731250000001</v>
      </c>
      <c r="R27" s="4">
        <f t="shared" si="6"/>
        <v>-3386.8874800000012</v>
      </c>
      <c r="S27" s="17">
        <v>20321.964329999999</v>
      </c>
      <c r="T27" s="17">
        <v>25241.902750000001</v>
      </c>
      <c r="U27" s="4">
        <f t="shared" si="7"/>
        <v>-4919.9384200000022</v>
      </c>
      <c r="V27" s="17">
        <v>834.13731000000007</v>
      </c>
      <c r="W27" s="17">
        <v>1160.3813500000001</v>
      </c>
      <c r="X27" s="4">
        <f t="shared" si="8"/>
        <v>-326.24404000000004</v>
      </c>
      <c r="Y27" s="17">
        <v>0</v>
      </c>
      <c r="Z27" s="17">
        <v>0</v>
      </c>
      <c r="AA27" s="4">
        <f t="shared" si="9"/>
        <v>0</v>
      </c>
      <c r="AB27" s="17">
        <v>2680.0735600000003</v>
      </c>
      <c r="AC27" s="17">
        <v>3074.6600199999998</v>
      </c>
      <c r="AD27" s="4">
        <f t="shared" si="10"/>
        <v>-394.58645999999953</v>
      </c>
      <c r="AE27" s="17">
        <f t="shared" si="11"/>
        <v>40123.01896999999</v>
      </c>
      <c r="AF27" s="17">
        <f t="shared" si="12"/>
        <v>49150.675370000012</v>
      </c>
      <c r="AG27" s="4">
        <f t="shared" si="13"/>
        <v>-9027.6564000000217</v>
      </c>
      <c r="AH27" s="17"/>
      <c r="AI27" s="17"/>
      <c r="AJ27" s="4">
        <f t="shared" si="14"/>
        <v>0</v>
      </c>
      <c r="AK27" s="17"/>
      <c r="AL27" s="17"/>
      <c r="AM27" s="4">
        <f t="shared" si="15"/>
        <v>0</v>
      </c>
      <c r="AN27" s="17">
        <f t="shared" si="16"/>
        <v>-6819.514439999999</v>
      </c>
      <c r="AO27" s="17">
        <f t="shared" si="17"/>
        <v>-6231.5647200000094</v>
      </c>
      <c r="AP27" s="4">
        <f t="shared" si="18"/>
        <v>-587.94971999998961</v>
      </c>
      <c r="AQ27" s="17"/>
      <c r="AR27" s="17"/>
      <c r="AS27" s="4">
        <f t="shared" si="19"/>
        <v>0</v>
      </c>
      <c r="AT27" s="17"/>
      <c r="AU27" s="17"/>
      <c r="AV27" s="4">
        <f t="shared" si="20"/>
        <v>0</v>
      </c>
      <c r="AW27" s="17">
        <f t="shared" si="21"/>
        <v>-6819.514439999999</v>
      </c>
      <c r="AX27" s="17">
        <f t="shared" si="22"/>
        <v>-6231.5647200000094</v>
      </c>
      <c r="AY27" s="4">
        <f t="shared" si="23"/>
        <v>-587.94971999998961</v>
      </c>
      <c r="AZ27" s="17">
        <f t="shared" si="24"/>
        <v>-6819.514439999999</v>
      </c>
      <c r="BA27" s="17">
        <f t="shared" si="25"/>
        <v>-6231.5647200000094</v>
      </c>
      <c r="BB27" s="4">
        <f t="shared" si="26"/>
        <v>-587.94971999998961</v>
      </c>
      <c r="BC27" s="17">
        <f t="shared" si="27"/>
        <v>-4139.4408799999983</v>
      </c>
      <c r="BD27" s="17">
        <f t="shared" si="28"/>
        <v>-3156.9047000000096</v>
      </c>
      <c r="BE27" s="4">
        <f t="shared" si="29"/>
        <v>-982.53617999998869</v>
      </c>
      <c r="BF27" s="7"/>
    </row>
    <row r="28" spans="1:58" ht="15" customHeight="1" x14ac:dyDescent="0.3">
      <c r="A28" s="32"/>
      <c r="B28" s="10" t="s">
        <v>10</v>
      </c>
      <c r="C28" s="10" t="s">
        <v>31</v>
      </c>
      <c r="D28" s="17">
        <f t="shared" si="0"/>
        <v>219.75297368112487</v>
      </c>
      <c r="E28" s="17">
        <f t="shared" si="1"/>
        <v>269.19799812157521</v>
      </c>
      <c r="F28" s="4">
        <f t="shared" si="2"/>
        <v>-49.445024440450339</v>
      </c>
      <c r="G28" s="17">
        <v>65603.11778</v>
      </c>
      <c r="H28" s="17">
        <v>80364</v>
      </c>
      <c r="I28" s="4">
        <f t="shared" si="3"/>
        <v>-14760.88222</v>
      </c>
      <c r="J28" s="17">
        <v>65603.11778</v>
      </c>
      <c r="K28" s="17">
        <v>80364</v>
      </c>
      <c r="L28" s="4">
        <f t="shared" si="4"/>
        <v>-14760.88222</v>
      </c>
      <c r="M28" s="17">
        <v>15.95499</v>
      </c>
      <c r="N28" s="17">
        <v>0</v>
      </c>
      <c r="O28" s="4">
        <f t="shared" si="5"/>
        <v>15.95499</v>
      </c>
      <c r="P28" s="17">
        <v>19389.491249999999</v>
      </c>
      <c r="Q28" s="17">
        <v>26956.45448</v>
      </c>
      <c r="R28" s="4">
        <f t="shared" si="6"/>
        <v>-7566.9632300000012</v>
      </c>
      <c r="S28" s="17">
        <v>24373.171939999997</v>
      </c>
      <c r="T28" s="17">
        <v>22705.313619999994</v>
      </c>
      <c r="U28" s="4">
        <f t="shared" si="7"/>
        <v>1667.858320000003</v>
      </c>
      <c r="V28" s="17">
        <v>85.109499999999997</v>
      </c>
      <c r="W28" s="17">
        <v>170</v>
      </c>
      <c r="X28" s="4">
        <f t="shared" si="8"/>
        <v>-84.890500000000003</v>
      </c>
      <c r="Y28" s="17">
        <v>281.23712</v>
      </c>
      <c r="Z28" s="17">
        <v>277.16394000000003</v>
      </c>
      <c r="AA28" s="4">
        <f t="shared" si="9"/>
        <v>4.0731799999999794</v>
      </c>
      <c r="AB28" s="17">
        <v>4820.1151300000001</v>
      </c>
      <c r="AC28" s="17">
        <v>4254.8857200000002</v>
      </c>
      <c r="AD28" s="4">
        <f t="shared" si="10"/>
        <v>565.22940999999992</v>
      </c>
      <c r="AE28" s="17">
        <f t="shared" si="11"/>
        <v>48949.124939999987</v>
      </c>
      <c r="AF28" s="17">
        <f t="shared" si="12"/>
        <v>54363.817759999991</v>
      </c>
      <c r="AG28" s="4">
        <f t="shared" si="13"/>
        <v>-5414.6928200000038</v>
      </c>
      <c r="AH28" s="17"/>
      <c r="AI28" s="17"/>
      <c r="AJ28" s="4">
        <f t="shared" si="14"/>
        <v>0</v>
      </c>
      <c r="AK28" s="17"/>
      <c r="AL28" s="17"/>
      <c r="AM28" s="4">
        <f t="shared" si="15"/>
        <v>0</v>
      </c>
      <c r="AN28" s="17">
        <f t="shared" si="16"/>
        <v>16669.947830000012</v>
      </c>
      <c r="AO28" s="17">
        <f t="shared" si="17"/>
        <v>26000.182240000009</v>
      </c>
      <c r="AP28" s="4">
        <f t="shared" si="18"/>
        <v>-9330.2344099999973</v>
      </c>
      <c r="AQ28" s="17"/>
      <c r="AR28" s="17"/>
      <c r="AS28" s="4">
        <f t="shared" si="19"/>
        <v>0</v>
      </c>
      <c r="AT28" s="17"/>
      <c r="AU28" s="17"/>
      <c r="AV28" s="4">
        <f t="shared" si="20"/>
        <v>0</v>
      </c>
      <c r="AW28" s="17">
        <f t="shared" si="21"/>
        <v>16669.947830000012</v>
      </c>
      <c r="AX28" s="17">
        <f t="shared" si="22"/>
        <v>26000.182240000009</v>
      </c>
      <c r="AY28" s="4">
        <f t="shared" si="23"/>
        <v>-9330.2344099999973</v>
      </c>
      <c r="AZ28" s="17">
        <f t="shared" si="24"/>
        <v>16951.184950000013</v>
      </c>
      <c r="BA28" s="17">
        <f t="shared" si="25"/>
        <v>26277.346180000008</v>
      </c>
      <c r="BB28" s="4">
        <f t="shared" si="26"/>
        <v>-9326.1612299999942</v>
      </c>
      <c r="BC28" s="17">
        <f t="shared" si="27"/>
        <v>21771.300080000015</v>
      </c>
      <c r="BD28" s="17">
        <f t="shared" si="28"/>
        <v>30532.231900000006</v>
      </c>
      <c r="BE28" s="4">
        <f t="shared" si="29"/>
        <v>-8760.9318199999907</v>
      </c>
      <c r="BF28" s="7"/>
    </row>
    <row r="29" spans="1:58" ht="15" customHeight="1" x14ac:dyDescent="0.3">
      <c r="A29" s="32"/>
      <c r="B29" s="10" t="s">
        <v>10</v>
      </c>
      <c r="C29" s="10" t="s">
        <v>32</v>
      </c>
      <c r="D29" s="17">
        <f t="shared" si="0"/>
        <v>195.18891836870023</v>
      </c>
      <c r="E29" s="17">
        <f t="shared" si="1"/>
        <v>228.07617495391085</v>
      </c>
      <c r="F29" s="4">
        <f t="shared" si="2"/>
        <v>-32.887256585210622</v>
      </c>
      <c r="G29" s="17">
        <v>58269.981</v>
      </c>
      <c r="H29" s="17">
        <v>68087.853000000003</v>
      </c>
      <c r="I29" s="4">
        <f t="shared" si="3"/>
        <v>-9817.872000000003</v>
      </c>
      <c r="J29" s="17">
        <v>58269.981</v>
      </c>
      <c r="K29" s="17">
        <v>68087.853000000003</v>
      </c>
      <c r="L29" s="4">
        <f t="shared" si="4"/>
        <v>-9817.872000000003</v>
      </c>
      <c r="M29" s="17">
        <v>390.755</v>
      </c>
      <c r="N29" s="17">
        <v>340.43900000000002</v>
      </c>
      <c r="O29" s="4">
        <f t="shared" si="5"/>
        <v>50.315999999999974</v>
      </c>
      <c r="P29" s="17">
        <v>11029.287</v>
      </c>
      <c r="Q29" s="17">
        <v>11521.205</v>
      </c>
      <c r="R29" s="4">
        <f t="shared" si="6"/>
        <v>-491.91799999999967</v>
      </c>
      <c r="S29" s="17">
        <v>9342.1779999999999</v>
      </c>
      <c r="T29" s="17">
        <v>10136.215</v>
      </c>
      <c r="U29" s="4">
        <f t="shared" si="7"/>
        <v>-794.03700000000026</v>
      </c>
      <c r="V29" s="17">
        <v>808.17100000000005</v>
      </c>
      <c r="W29" s="17">
        <v>1218.06</v>
      </c>
      <c r="X29" s="4">
        <f t="shared" si="8"/>
        <v>-409.8889999999999</v>
      </c>
      <c r="Y29" s="17">
        <v>0</v>
      </c>
      <c r="Z29" s="17">
        <v>0</v>
      </c>
      <c r="AA29" s="4">
        <f t="shared" si="9"/>
        <v>0</v>
      </c>
      <c r="AB29" s="17">
        <v>865.03200000000004</v>
      </c>
      <c r="AC29" s="17">
        <v>1535.8710000000001</v>
      </c>
      <c r="AD29" s="4">
        <f t="shared" si="10"/>
        <v>-670.83900000000006</v>
      </c>
      <c r="AE29" s="17">
        <f t="shared" si="11"/>
        <v>22044.667999999998</v>
      </c>
      <c r="AF29" s="17">
        <f t="shared" si="12"/>
        <v>24411.350999999999</v>
      </c>
      <c r="AG29" s="4">
        <f t="shared" si="13"/>
        <v>-2366.6830000000009</v>
      </c>
      <c r="AH29" s="17"/>
      <c r="AI29" s="17"/>
      <c r="AJ29" s="4">
        <f t="shared" si="14"/>
        <v>0</v>
      </c>
      <c r="AK29" s="17"/>
      <c r="AL29" s="17"/>
      <c r="AM29" s="4">
        <f t="shared" si="15"/>
        <v>0</v>
      </c>
      <c r="AN29" s="17">
        <f t="shared" si="16"/>
        <v>36616.067999999999</v>
      </c>
      <c r="AO29" s="17">
        <f t="shared" si="17"/>
        <v>44016.941000000006</v>
      </c>
      <c r="AP29" s="4">
        <f t="shared" si="18"/>
        <v>-7400.8730000000069</v>
      </c>
      <c r="AQ29" s="17"/>
      <c r="AR29" s="17"/>
      <c r="AS29" s="4">
        <f t="shared" si="19"/>
        <v>0</v>
      </c>
      <c r="AT29" s="17"/>
      <c r="AU29" s="17"/>
      <c r="AV29" s="4">
        <f t="shared" si="20"/>
        <v>0</v>
      </c>
      <c r="AW29" s="17">
        <f t="shared" si="21"/>
        <v>36616.067999999999</v>
      </c>
      <c r="AX29" s="17">
        <f t="shared" si="22"/>
        <v>44016.941000000006</v>
      </c>
      <c r="AY29" s="4">
        <f t="shared" si="23"/>
        <v>-7400.8730000000069</v>
      </c>
      <c r="AZ29" s="17">
        <f t="shared" si="24"/>
        <v>36616.067999999999</v>
      </c>
      <c r="BA29" s="17">
        <f t="shared" si="25"/>
        <v>44016.941000000006</v>
      </c>
      <c r="BB29" s="4">
        <f t="shared" si="26"/>
        <v>-7400.8730000000069</v>
      </c>
      <c r="BC29" s="17">
        <f t="shared" si="27"/>
        <v>37481.1</v>
      </c>
      <c r="BD29" s="17">
        <f t="shared" si="28"/>
        <v>45552.812000000005</v>
      </c>
      <c r="BE29" s="4">
        <f t="shared" si="29"/>
        <v>-8071.7120000000068</v>
      </c>
      <c r="BF29" s="7"/>
    </row>
    <row r="30" spans="1:58" ht="15" customHeight="1" x14ac:dyDescent="0.3">
      <c r="A30" s="38"/>
      <c r="B30" s="10" t="s">
        <v>10</v>
      </c>
      <c r="C30" s="10" t="s">
        <v>33</v>
      </c>
      <c r="D30" s="17">
        <f t="shared" si="0"/>
        <v>97.293536762895329</v>
      </c>
      <c r="E30" s="17">
        <f t="shared" si="1"/>
        <v>174.17432387873356</v>
      </c>
      <c r="F30" s="4">
        <f t="shared" si="2"/>
        <v>-76.880787115838231</v>
      </c>
      <c r="G30" s="17">
        <v>29045.155770000001</v>
      </c>
      <c r="H30" s="17">
        <v>51996.468999999997</v>
      </c>
      <c r="I30" s="4">
        <f t="shared" si="3"/>
        <v>-22951.313229999996</v>
      </c>
      <c r="J30" s="17">
        <v>29045.155770000001</v>
      </c>
      <c r="K30" s="17">
        <v>51996.468999999997</v>
      </c>
      <c r="L30" s="4">
        <f t="shared" si="4"/>
        <v>-22951.313229999996</v>
      </c>
      <c r="M30" s="17">
        <v>286.66000000000003</v>
      </c>
      <c r="N30" s="17">
        <v>228.67</v>
      </c>
      <c r="O30" s="4">
        <f t="shared" si="5"/>
        <v>57.990000000000038</v>
      </c>
      <c r="P30" s="17">
        <v>20305.941300000006</v>
      </c>
      <c r="Q30" s="17">
        <v>22647.959355742689</v>
      </c>
      <c r="R30" s="4">
        <f t="shared" si="6"/>
        <v>-2342.0180557426829</v>
      </c>
      <c r="S30" s="17">
        <v>11808.589089999998</v>
      </c>
      <c r="T30" s="17">
        <v>13141.92630239002</v>
      </c>
      <c r="U30" s="4">
        <f t="shared" si="7"/>
        <v>-1333.3372123900226</v>
      </c>
      <c r="V30" s="17">
        <v>971.51413000000002</v>
      </c>
      <c r="W30" s="17">
        <v>918.99246500000004</v>
      </c>
      <c r="X30" s="4">
        <f t="shared" si="8"/>
        <v>52.521664999999985</v>
      </c>
      <c r="Y30" s="17">
        <v>0</v>
      </c>
      <c r="Z30" s="17">
        <v>0</v>
      </c>
      <c r="AA30" s="4">
        <f t="shared" si="9"/>
        <v>0</v>
      </c>
      <c r="AB30" s="17">
        <v>1067.4352200000001</v>
      </c>
      <c r="AC30" s="17">
        <v>1498.72723222222</v>
      </c>
      <c r="AD30" s="4">
        <f t="shared" si="10"/>
        <v>-431.29201222221991</v>
      </c>
      <c r="AE30" s="17">
        <f t="shared" si="11"/>
        <v>34153.479740000002</v>
      </c>
      <c r="AF30" s="17">
        <f t="shared" si="12"/>
        <v>38207.605355354935</v>
      </c>
      <c r="AG30" s="4">
        <f t="shared" si="13"/>
        <v>-4054.125615354933</v>
      </c>
      <c r="AH30" s="17"/>
      <c r="AI30" s="17"/>
      <c r="AJ30" s="4">
        <f t="shared" si="14"/>
        <v>0</v>
      </c>
      <c r="AK30" s="17"/>
      <c r="AL30" s="17"/>
      <c r="AM30" s="4">
        <f t="shared" si="15"/>
        <v>0</v>
      </c>
      <c r="AN30" s="17">
        <f t="shared" si="16"/>
        <v>-4821.6639700000014</v>
      </c>
      <c r="AO30" s="17">
        <f t="shared" si="17"/>
        <v>14017.53364464506</v>
      </c>
      <c r="AP30" s="4">
        <f t="shared" si="18"/>
        <v>-18839.197614645062</v>
      </c>
      <c r="AQ30" s="17"/>
      <c r="AR30" s="17"/>
      <c r="AS30" s="4">
        <f t="shared" si="19"/>
        <v>0</v>
      </c>
      <c r="AT30" s="17"/>
      <c r="AU30" s="17"/>
      <c r="AV30" s="4">
        <f t="shared" si="20"/>
        <v>0</v>
      </c>
      <c r="AW30" s="17">
        <f t="shared" si="21"/>
        <v>-4821.6639700000014</v>
      </c>
      <c r="AX30" s="17">
        <f t="shared" si="22"/>
        <v>14017.53364464506</v>
      </c>
      <c r="AY30" s="4">
        <f t="shared" si="23"/>
        <v>-18839.197614645062</v>
      </c>
      <c r="AZ30" s="17">
        <f t="shared" si="24"/>
        <v>-4821.6639700000014</v>
      </c>
      <c r="BA30" s="17">
        <f t="shared" si="25"/>
        <v>14017.53364464506</v>
      </c>
      <c r="BB30" s="4">
        <f t="shared" si="26"/>
        <v>-18839.197614645062</v>
      </c>
      <c r="BC30" s="17">
        <f t="shared" si="27"/>
        <v>-3754.2287500000011</v>
      </c>
      <c r="BD30" s="17">
        <f t="shared" si="28"/>
        <v>15516.26087686728</v>
      </c>
      <c r="BE30" s="4">
        <f t="shared" si="29"/>
        <v>-19270.489626867282</v>
      </c>
      <c r="BF30" s="7"/>
    </row>
    <row r="31" spans="1:58" s="20" customFormat="1" ht="15" customHeight="1" x14ac:dyDescent="0.3">
      <c r="A31" s="34" t="s">
        <v>11</v>
      </c>
      <c r="B31" s="35"/>
      <c r="C31" s="36"/>
      <c r="D31" s="18">
        <f>SUM(D26:D30)</f>
        <v>887.937375367649</v>
      </c>
      <c r="E31" s="18">
        <f t="shared" ref="E31:G31" si="64">SUM(E26:E30)</f>
        <v>1119.4193660551425</v>
      </c>
      <c r="F31" s="19">
        <f t="shared" si="64"/>
        <v>-231.48199068749364</v>
      </c>
      <c r="G31" s="18">
        <f t="shared" si="64"/>
        <v>265077.00552000001</v>
      </c>
      <c r="H31" s="18">
        <f t="shared" ref="H31" si="65">SUM(H26:H30)</f>
        <v>334181.60076</v>
      </c>
      <c r="I31" s="19">
        <f t="shared" ref="I31:J31" si="66">SUM(I26:I30)</f>
        <v>-69104.59524000001</v>
      </c>
      <c r="J31" s="18">
        <f t="shared" si="66"/>
        <v>265077.00552000001</v>
      </c>
      <c r="K31" s="18">
        <f t="shared" ref="K31" si="67">SUM(K26:K30)</f>
        <v>334181.60076</v>
      </c>
      <c r="L31" s="19">
        <f t="shared" ref="L31:M31" si="68">SUM(L26:L30)</f>
        <v>-69104.59524000001</v>
      </c>
      <c r="M31" s="18">
        <f t="shared" si="68"/>
        <v>1603.1147800000001</v>
      </c>
      <c r="N31" s="18">
        <f t="shared" ref="N31" si="69">SUM(N26:N30)</f>
        <v>976.47500000000002</v>
      </c>
      <c r="O31" s="19">
        <f t="shared" ref="O31:P31" si="70">SUM(O26:O30)</f>
        <v>626.63977999999997</v>
      </c>
      <c r="P31" s="18">
        <f t="shared" si="70"/>
        <v>93738.289310000007</v>
      </c>
      <c r="Q31" s="18">
        <f t="shared" ref="Q31" si="71">SUM(Q26:Q30)</f>
        <v>110486.89431574268</v>
      </c>
      <c r="R31" s="19">
        <f t="shared" ref="R31:S31" si="72">SUM(R26:R30)</f>
        <v>-16748.605005742684</v>
      </c>
      <c r="S31" s="18">
        <f t="shared" si="72"/>
        <v>91751.084899999987</v>
      </c>
      <c r="T31" s="18">
        <f t="shared" ref="T31" si="73">SUM(T26:T30)</f>
        <v>107148.05801239001</v>
      </c>
      <c r="U31" s="19">
        <f t="shared" ref="U31:V31" si="74">SUM(U26:U30)</f>
        <v>-15396.973112390027</v>
      </c>
      <c r="V31" s="18">
        <f t="shared" si="74"/>
        <v>3933.7481000000002</v>
      </c>
      <c r="W31" s="18">
        <f t="shared" ref="W31" si="75">SUM(W26:W30)</f>
        <v>5294.6963949999999</v>
      </c>
      <c r="X31" s="19">
        <f t="shared" ref="X31:Y31" si="76">SUM(X26:X30)</f>
        <v>-1360.9482950000001</v>
      </c>
      <c r="Y31" s="18">
        <f t="shared" si="76"/>
        <v>665.02057000000002</v>
      </c>
      <c r="Z31" s="18">
        <f t="shared" ref="Z31" si="77">SUM(Z26:Z30)</f>
        <v>660.94694000000004</v>
      </c>
      <c r="AA31" s="19">
        <f t="shared" ref="AA31:AB31" si="78">SUM(AA26:AA30)</f>
        <v>4.0736299999999801</v>
      </c>
      <c r="AB31" s="18">
        <f t="shared" si="78"/>
        <v>11357.260149999998</v>
      </c>
      <c r="AC31" s="18">
        <f t="shared" ref="AC31" si="79">SUM(AC26:AC30)</f>
        <v>12812.434342222219</v>
      </c>
      <c r="AD31" s="19">
        <f t="shared" ref="AD31:AE31" si="80">SUM(AD26:AD30)</f>
        <v>-1455.17419222222</v>
      </c>
      <c r="AE31" s="18">
        <f t="shared" si="80"/>
        <v>201445.40302999999</v>
      </c>
      <c r="AF31" s="18">
        <f t="shared" ref="AF31" si="81">SUM(AF26:AF30)</f>
        <v>236403.03000535493</v>
      </c>
      <c r="AG31" s="19">
        <f t="shared" ref="AG31:AH31" si="82">SUM(AG26:AG30)</f>
        <v>-34957.626975354957</v>
      </c>
      <c r="AH31" s="18">
        <f t="shared" si="82"/>
        <v>0</v>
      </c>
      <c r="AI31" s="18">
        <f t="shared" ref="AI31" si="83">SUM(AI26:AI30)</f>
        <v>0</v>
      </c>
      <c r="AJ31" s="19">
        <f t="shared" ref="AJ31:AK31" si="84">SUM(AJ26:AJ30)</f>
        <v>0</v>
      </c>
      <c r="AK31" s="18">
        <f t="shared" si="84"/>
        <v>0</v>
      </c>
      <c r="AL31" s="18">
        <f t="shared" ref="AL31" si="85">SUM(AL26:AL30)</f>
        <v>0</v>
      </c>
      <c r="AM31" s="19">
        <f t="shared" ref="AM31:AN31" si="86">SUM(AM26:AM30)</f>
        <v>0</v>
      </c>
      <c r="AN31" s="18">
        <f t="shared" si="86"/>
        <v>65234.717270000016</v>
      </c>
      <c r="AO31" s="18">
        <f t="shared" ref="AO31" si="87">SUM(AO26:AO30)</f>
        <v>98755.045754645049</v>
      </c>
      <c r="AP31" s="19">
        <f t="shared" ref="AP31:AQ31" si="88">SUM(AP26:AP30)</f>
        <v>-33520.328484645048</v>
      </c>
      <c r="AQ31" s="18">
        <f t="shared" si="88"/>
        <v>0</v>
      </c>
      <c r="AR31" s="18">
        <f t="shared" ref="AR31" si="89">SUM(AR26:AR30)</f>
        <v>0</v>
      </c>
      <c r="AS31" s="19">
        <f t="shared" ref="AS31:AT31" si="90">SUM(AS26:AS30)</f>
        <v>0</v>
      </c>
      <c r="AT31" s="18">
        <f t="shared" si="90"/>
        <v>0</v>
      </c>
      <c r="AU31" s="18">
        <f t="shared" ref="AU31" si="91">SUM(AU26:AU30)</f>
        <v>0</v>
      </c>
      <c r="AV31" s="19">
        <f t="shared" ref="AV31:AW31" si="92">SUM(AV26:AV30)</f>
        <v>0</v>
      </c>
      <c r="AW31" s="18">
        <f t="shared" si="92"/>
        <v>65234.717270000016</v>
      </c>
      <c r="AX31" s="18">
        <f t="shared" ref="AX31" si="93">SUM(AX26:AX30)</f>
        <v>98755.045754645049</v>
      </c>
      <c r="AY31" s="19">
        <f t="shared" ref="AY31:AZ31" si="94">SUM(AY26:AY30)</f>
        <v>-33520.328484645048</v>
      </c>
      <c r="AZ31" s="18">
        <f t="shared" si="94"/>
        <v>65899.737840000016</v>
      </c>
      <c r="BA31" s="18">
        <f t="shared" ref="BA31" si="95">SUM(BA26:BA30)</f>
        <v>99415.992694645043</v>
      </c>
      <c r="BB31" s="19">
        <f t="shared" ref="BB31:BC31" si="96">SUM(BB26:BB30)</f>
        <v>-33516.254854645042</v>
      </c>
      <c r="BC31" s="18">
        <f t="shared" si="96"/>
        <v>77256.997990000018</v>
      </c>
      <c r="BD31" s="18">
        <f t="shared" ref="BD31" si="97">SUM(BD26:BD30)</f>
        <v>112228.42703686727</v>
      </c>
      <c r="BE31" s="19">
        <f t="shared" ref="BE31" si="98">SUM(BE26:BE30)</f>
        <v>-34971.429046867255</v>
      </c>
      <c r="BF31" s="7"/>
    </row>
    <row r="32" spans="1:58" ht="15" customHeight="1" x14ac:dyDescent="0.3">
      <c r="A32" s="37" t="s">
        <v>83</v>
      </c>
      <c r="B32" s="3" t="s">
        <v>34</v>
      </c>
      <c r="C32" s="3" t="s">
        <v>35</v>
      </c>
      <c r="D32" s="17">
        <f>G32/$F$1</f>
        <v>428.24864414213403</v>
      </c>
      <c r="E32" s="17">
        <f t="shared" si="1"/>
        <v>467.33656432421901</v>
      </c>
      <c r="F32" s="4">
        <f t="shared" si="2"/>
        <v>-39.087920182084986</v>
      </c>
      <c r="G32" s="17">
        <v>127845.57938018396</v>
      </c>
      <c r="H32" s="17">
        <v>139514.54289192011</v>
      </c>
      <c r="I32" s="4">
        <f t="shared" si="3"/>
        <v>-11668.963511736147</v>
      </c>
      <c r="J32" s="17">
        <v>59168.976317870925</v>
      </c>
      <c r="K32" s="17">
        <v>58778.455368502058</v>
      </c>
      <c r="L32" s="4">
        <f t="shared" si="4"/>
        <v>390.52094936886715</v>
      </c>
      <c r="M32" s="17">
        <v>42.32</v>
      </c>
      <c r="N32" s="17">
        <v>0</v>
      </c>
      <c r="O32" s="4">
        <f t="shared" si="5"/>
        <v>42.32</v>
      </c>
      <c r="P32" s="17">
        <v>25608.731197768204</v>
      </c>
      <c r="Q32" s="17">
        <v>27719.387759822617</v>
      </c>
      <c r="R32" s="4">
        <f t="shared" si="6"/>
        <v>-2110.6565620544134</v>
      </c>
      <c r="S32" s="17">
        <v>18917.777054959664</v>
      </c>
      <c r="T32" s="17">
        <v>18874.846331119232</v>
      </c>
      <c r="U32" s="4">
        <f t="shared" si="7"/>
        <v>42.93072384043262</v>
      </c>
      <c r="V32" s="17">
        <v>771.61003828401613</v>
      </c>
      <c r="W32" s="17">
        <v>760.65554333333398</v>
      </c>
      <c r="X32" s="4">
        <f t="shared" si="8"/>
        <v>10.954494950682147</v>
      </c>
      <c r="Y32" s="17">
        <v>1751.9782070000006</v>
      </c>
      <c r="Z32" s="17">
        <v>1592.1088647408505</v>
      </c>
      <c r="AA32" s="4">
        <f t="shared" si="9"/>
        <v>159.86934225915002</v>
      </c>
      <c r="AB32" s="17">
        <v>6881.0714316365156</v>
      </c>
      <c r="AC32" s="17">
        <v>7318.4342969900672</v>
      </c>
      <c r="AD32" s="4">
        <f t="shared" si="10"/>
        <v>-437.36286535355157</v>
      </c>
      <c r="AE32" s="17">
        <f t="shared" si="11"/>
        <v>53931.167929648407</v>
      </c>
      <c r="AF32" s="17">
        <f t="shared" si="12"/>
        <v>56265.432796006098</v>
      </c>
      <c r="AG32" s="4">
        <f t="shared" si="13"/>
        <v>-2334.2648663576911</v>
      </c>
      <c r="AH32" s="17"/>
      <c r="AI32" s="17"/>
      <c r="AJ32" s="4">
        <f t="shared" si="14"/>
        <v>0</v>
      </c>
      <c r="AK32" s="17">
        <v>0</v>
      </c>
      <c r="AL32" s="17">
        <v>0</v>
      </c>
      <c r="AM32" s="4">
        <f t="shared" si="15"/>
        <v>0</v>
      </c>
      <c r="AN32" s="17">
        <f>J32+M32-AE32+AH32+AK32</f>
        <v>5280.128388222518</v>
      </c>
      <c r="AO32" s="17">
        <f t="shared" si="17"/>
        <v>2513.02257249596</v>
      </c>
      <c r="AP32" s="4">
        <f t="shared" si="18"/>
        <v>2767.1058157265579</v>
      </c>
      <c r="AQ32" s="17"/>
      <c r="AR32" s="17"/>
      <c r="AS32" s="4">
        <f t="shared" si="19"/>
        <v>0</v>
      </c>
      <c r="AT32" s="17"/>
      <c r="AU32" s="17"/>
      <c r="AV32" s="4">
        <f t="shared" si="20"/>
        <v>0</v>
      </c>
      <c r="AW32" s="17">
        <f t="shared" si="21"/>
        <v>5280.128388222518</v>
      </c>
      <c r="AX32" s="17">
        <f t="shared" si="22"/>
        <v>2513.02257249596</v>
      </c>
      <c r="AY32" s="4">
        <f t="shared" si="23"/>
        <v>2767.1058157265579</v>
      </c>
      <c r="AZ32" s="17">
        <f t="shared" si="24"/>
        <v>7032.1065952225181</v>
      </c>
      <c r="BA32" s="17">
        <f t="shared" si="25"/>
        <v>4105.1314372368106</v>
      </c>
      <c r="BB32" s="4">
        <f t="shared" si="26"/>
        <v>2926.9751579857075</v>
      </c>
      <c r="BC32" s="17">
        <f t="shared" si="27"/>
        <v>13913.178026859034</v>
      </c>
      <c r="BD32" s="17">
        <f t="shared" si="28"/>
        <v>11423.565734226879</v>
      </c>
      <c r="BE32" s="4">
        <f t="shared" si="29"/>
        <v>2489.612292632155</v>
      </c>
      <c r="BF32" s="7"/>
    </row>
    <row r="33" spans="1:58" ht="15" customHeight="1" x14ac:dyDescent="0.3">
      <c r="A33" s="32"/>
      <c r="B33" s="3" t="s">
        <v>34</v>
      </c>
      <c r="C33" s="10" t="s">
        <v>36</v>
      </c>
      <c r="D33" s="17">
        <f t="shared" si="0"/>
        <v>270.12145970569225</v>
      </c>
      <c r="E33" s="17">
        <f t="shared" si="0"/>
        <v>311.22022965449264</v>
      </c>
      <c r="F33" s="4">
        <f t="shared" si="2"/>
        <v>-41.098769948800395</v>
      </c>
      <c r="G33" s="17">
        <v>80639.682090000031</v>
      </c>
      <c r="H33" s="17">
        <v>92908.946985030023</v>
      </c>
      <c r="I33" s="4">
        <f t="shared" si="3"/>
        <v>-12269.264895029992</v>
      </c>
      <c r="J33" s="17">
        <v>42929.054225466694</v>
      </c>
      <c r="K33" s="17">
        <v>44970.748993081237</v>
      </c>
      <c r="L33" s="4">
        <f t="shared" si="4"/>
        <v>-2041.6947676145428</v>
      </c>
      <c r="M33" s="17">
        <v>0</v>
      </c>
      <c r="N33" s="17">
        <v>0</v>
      </c>
      <c r="O33" s="4">
        <f t="shared" si="5"/>
        <v>0</v>
      </c>
      <c r="P33" s="17">
        <v>11985.4448552507</v>
      </c>
      <c r="Q33" s="17">
        <v>12328.546784984001</v>
      </c>
      <c r="R33" s="4">
        <f t="shared" si="6"/>
        <v>-343.10192973330049</v>
      </c>
      <c r="S33" s="17">
        <v>7279.6051166666703</v>
      </c>
      <c r="T33" s="17">
        <v>7167.1147653480202</v>
      </c>
      <c r="U33" s="4">
        <f t="shared" si="7"/>
        <v>112.49035131865003</v>
      </c>
      <c r="V33" s="17">
        <v>500.86866666666702</v>
      </c>
      <c r="W33" s="17">
        <v>501.43637333333299</v>
      </c>
      <c r="X33" s="4">
        <f t="shared" si="8"/>
        <v>-0.56770666666596981</v>
      </c>
      <c r="Y33" s="17">
        <v>2766.7658230000002</v>
      </c>
      <c r="Z33" s="17">
        <v>3655.3137463891699</v>
      </c>
      <c r="AA33" s="4">
        <f t="shared" si="9"/>
        <v>-888.54792338916968</v>
      </c>
      <c r="AB33" s="17">
        <v>5977.482</v>
      </c>
      <c r="AC33" s="17">
        <v>6343.8159999999998</v>
      </c>
      <c r="AD33" s="4">
        <f t="shared" si="10"/>
        <v>-366.33399999999983</v>
      </c>
      <c r="AE33" s="17">
        <f t="shared" si="11"/>
        <v>28510.166461584038</v>
      </c>
      <c r="AF33" s="17">
        <f t="shared" si="12"/>
        <v>29996.227670054523</v>
      </c>
      <c r="AG33" s="4">
        <f t="shared" si="13"/>
        <v>-1486.0612084704844</v>
      </c>
      <c r="AH33" s="17"/>
      <c r="AI33" s="17"/>
      <c r="AJ33" s="4">
        <f t="shared" si="14"/>
        <v>0</v>
      </c>
      <c r="AK33" s="17">
        <v>-822.23599999999999</v>
      </c>
      <c r="AL33" s="17"/>
      <c r="AM33" s="4">
        <f t="shared" si="15"/>
        <v>-822.23599999999999</v>
      </c>
      <c r="AN33" s="17">
        <f>J33+M33-AE33+AH33+AK33</f>
        <v>13596.651763882655</v>
      </c>
      <c r="AO33" s="17">
        <f t="shared" si="17"/>
        <v>14974.521323026715</v>
      </c>
      <c r="AP33" s="4">
        <f t="shared" si="18"/>
        <v>-1377.8695591440592</v>
      </c>
      <c r="AQ33" s="17"/>
      <c r="AR33" s="17"/>
      <c r="AS33" s="4">
        <f t="shared" si="19"/>
        <v>0</v>
      </c>
      <c r="AT33" s="17"/>
      <c r="AU33" s="17"/>
      <c r="AV33" s="4">
        <f t="shared" si="20"/>
        <v>0</v>
      </c>
      <c r="AW33" s="17">
        <f t="shared" si="21"/>
        <v>13596.651763882655</v>
      </c>
      <c r="AX33" s="17">
        <f t="shared" si="22"/>
        <v>14974.521323026715</v>
      </c>
      <c r="AY33" s="4">
        <f t="shared" si="23"/>
        <v>-1377.8695591440592</v>
      </c>
      <c r="AZ33" s="17">
        <f t="shared" si="24"/>
        <v>16363.417586882655</v>
      </c>
      <c r="BA33" s="17">
        <f t="shared" si="25"/>
        <v>18629.835069415883</v>
      </c>
      <c r="BB33" s="4">
        <f t="shared" si="26"/>
        <v>-2266.4174825332284</v>
      </c>
      <c r="BC33" s="17">
        <f t="shared" si="27"/>
        <v>22340.899586882653</v>
      </c>
      <c r="BD33" s="17">
        <f t="shared" si="28"/>
        <v>24973.651069415882</v>
      </c>
      <c r="BE33" s="4">
        <f t="shared" si="29"/>
        <v>-2632.7514825332291</v>
      </c>
      <c r="BF33" s="7"/>
    </row>
    <row r="34" spans="1:58" s="20" customFormat="1" ht="15" customHeight="1" x14ac:dyDescent="0.3">
      <c r="A34" s="34" t="s">
        <v>11</v>
      </c>
      <c r="B34" s="35"/>
      <c r="C34" s="36"/>
      <c r="D34" s="18">
        <f>SUM(D32:D33)</f>
        <v>698.37010384782627</v>
      </c>
      <c r="E34" s="18">
        <f>SUM(E32:E33)</f>
        <v>778.55679397871165</v>
      </c>
      <c r="F34" s="19">
        <f>D34-E34</f>
        <v>-80.186690130885381</v>
      </c>
      <c r="G34" s="18">
        <f>SUM(G32:G33)</f>
        <v>208485.26147018399</v>
      </c>
      <c r="H34" s="18">
        <f>SUM(H32:H33)</f>
        <v>232423.48987695013</v>
      </c>
      <c r="I34" s="19">
        <f t="shared" si="3"/>
        <v>-23938.228406766139</v>
      </c>
      <c r="J34" s="18">
        <f t="shared" ref="J34:K34" si="99">SUM(J32:J33)</f>
        <v>102098.03054333762</v>
      </c>
      <c r="K34" s="18">
        <f t="shared" si="99"/>
        <v>103749.2043615833</v>
      </c>
      <c r="L34" s="19">
        <f t="shared" si="4"/>
        <v>-1651.1738182456756</v>
      </c>
      <c r="M34" s="18">
        <f t="shared" ref="M34:N34" si="100">SUM(M32:M33)</f>
        <v>42.32</v>
      </c>
      <c r="N34" s="18">
        <f t="shared" si="100"/>
        <v>0</v>
      </c>
      <c r="O34" s="19">
        <f t="shared" si="5"/>
        <v>42.32</v>
      </c>
      <c r="P34" s="18">
        <f t="shared" ref="P34:Q34" si="101">SUM(P32:P33)</f>
        <v>37594.176053018906</v>
      </c>
      <c r="Q34" s="18">
        <f t="shared" si="101"/>
        <v>40047.934544806616</v>
      </c>
      <c r="R34" s="19">
        <f t="shared" si="6"/>
        <v>-2453.7584917877102</v>
      </c>
      <c r="S34" s="18">
        <f t="shared" ref="S34:T34" si="102">SUM(S32:S33)</f>
        <v>26197.382171626334</v>
      </c>
      <c r="T34" s="18">
        <f t="shared" si="102"/>
        <v>26041.961096467254</v>
      </c>
      <c r="U34" s="19">
        <f t="shared" si="7"/>
        <v>155.42107515907992</v>
      </c>
      <c r="V34" s="18">
        <f t="shared" ref="V34:W34" si="103">SUM(V32:V33)</f>
        <v>1272.4787049506831</v>
      </c>
      <c r="W34" s="18">
        <f t="shared" si="103"/>
        <v>1262.091916666667</v>
      </c>
      <c r="X34" s="19">
        <f t="shared" si="8"/>
        <v>10.38678828401612</v>
      </c>
      <c r="Y34" s="18">
        <f t="shared" ref="Y34:Z34" si="104">SUM(Y32:Y33)</f>
        <v>4518.7440300000007</v>
      </c>
      <c r="Z34" s="18">
        <f t="shared" si="104"/>
        <v>5247.4226111300204</v>
      </c>
      <c r="AA34" s="19">
        <f t="shared" si="9"/>
        <v>-728.67858113001967</v>
      </c>
      <c r="AB34" s="18">
        <f t="shared" ref="AB34:AC34" si="105">SUM(AB32:AB33)</f>
        <v>12858.553431636516</v>
      </c>
      <c r="AC34" s="18">
        <f t="shared" si="105"/>
        <v>13662.250296990067</v>
      </c>
      <c r="AD34" s="19">
        <f t="shared" si="10"/>
        <v>-803.6968653535514</v>
      </c>
      <c r="AE34" s="18">
        <f t="shared" ref="AE34:AF34" si="106">SUM(AE32:AE33)</f>
        <v>82441.334391232449</v>
      </c>
      <c r="AF34" s="18">
        <f t="shared" si="106"/>
        <v>86261.660466060624</v>
      </c>
      <c r="AG34" s="19">
        <f t="shared" si="13"/>
        <v>-3820.3260748281755</v>
      </c>
      <c r="AH34" s="18">
        <f t="shared" ref="AH34:AI34" si="107">SUM(AH32:AH33)</f>
        <v>0</v>
      </c>
      <c r="AI34" s="18">
        <f t="shared" si="107"/>
        <v>0</v>
      </c>
      <c r="AJ34" s="19">
        <f t="shared" si="14"/>
        <v>0</v>
      </c>
      <c r="AK34" s="18">
        <f t="shared" ref="AK34:AL34" si="108">SUM(AK32:AK33)</f>
        <v>-822.23599999999999</v>
      </c>
      <c r="AL34" s="18">
        <f t="shared" si="108"/>
        <v>0</v>
      </c>
      <c r="AM34" s="19">
        <f t="shared" si="15"/>
        <v>-822.23599999999999</v>
      </c>
      <c r="AN34" s="18">
        <f t="shared" ref="AN34:AO34" si="109">SUM(AN32:AN33)</f>
        <v>18876.780152105173</v>
      </c>
      <c r="AO34" s="18">
        <f t="shared" si="109"/>
        <v>17487.543895522675</v>
      </c>
      <c r="AP34" s="19">
        <f t="shared" si="18"/>
        <v>1389.2362565824988</v>
      </c>
      <c r="AQ34" s="18">
        <f>SUM(AQ32:AQ33)</f>
        <v>0</v>
      </c>
      <c r="AR34" s="18">
        <f>SUM(AR32:AR33)</f>
        <v>0</v>
      </c>
      <c r="AS34" s="19">
        <f t="shared" si="19"/>
        <v>0</v>
      </c>
      <c r="AT34" s="18">
        <f t="shared" ref="AT34:AU34" si="110">SUM(AT32:AT33)</f>
        <v>0</v>
      </c>
      <c r="AU34" s="18">
        <f t="shared" si="110"/>
        <v>0</v>
      </c>
      <c r="AV34" s="19">
        <f t="shared" si="20"/>
        <v>0</v>
      </c>
      <c r="AW34" s="18">
        <f>SUM(AW32:AW33)</f>
        <v>18876.780152105173</v>
      </c>
      <c r="AX34" s="18">
        <f>SUM(AX32:AX33)</f>
        <v>17487.543895522675</v>
      </c>
      <c r="AY34" s="19">
        <f t="shared" si="23"/>
        <v>1389.2362565824988</v>
      </c>
      <c r="AZ34" s="18">
        <f t="shared" ref="AZ34:BA34" si="111">SUM(AZ32:AZ33)</f>
        <v>23395.524182105175</v>
      </c>
      <c r="BA34" s="18">
        <f t="shared" si="111"/>
        <v>22734.966506652694</v>
      </c>
      <c r="BB34" s="19">
        <f t="shared" si="26"/>
        <v>660.55767545248091</v>
      </c>
      <c r="BC34" s="18">
        <f t="shared" ref="BC34:BD34" si="112">SUM(BC32:BC33)</f>
        <v>36254.077613741683</v>
      </c>
      <c r="BD34" s="18">
        <f t="shared" si="112"/>
        <v>36397.216803642761</v>
      </c>
      <c r="BE34" s="19">
        <f t="shared" si="29"/>
        <v>-143.13918990107777</v>
      </c>
      <c r="BF34" s="7"/>
    </row>
    <row r="35" spans="1:58" ht="15" customHeight="1" x14ac:dyDescent="0.3">
      <c r="A35" s="37" t="s">
        <v>84</v>
      </c>
      <c r="B35" s="3" t="s">
        <v>9</v>
      </c>
      <c r="C35" s="3" t="s">
        <v>38</v>
      </c>
      <c r="D35" s="17">
        <f t="shared" si="0"/>
        <v>6918.2838824619375</v>
      </c>
      <c r="E35" s="17">
        <f t="shared" si="1"/>
        <v>8039.7680671270764</v>
      </c>
      <c r="F35" s="4">
        <f t="shared" si="2"/>
        <v>-1121.4841846651389</v>
      </c>
      <c r="G35" s="17">
        <v>2065323.55296</v>
      </c>
      <c r="H35" s="17">
        <v>2400121.566486557</v>
      </c>
      <c r="I35" s="4">
        <f t="shared" si="3"/>
        <v>-334798.01352655701</v>
      </c>
      <c r="J35" s="17">
        <v>154978.4911099996</v>
      </c>
      <c r="K35" s="17">
        <v>61368.458110507032</v>
      </c>
      <c r="L35" s="4">
        <f t="shared" si="4"/>
        <v>93610.032999492571</v>
      </c>
      <c r="M35" s="17">
        <v>5916.2329599999994</v>
      </c>
      <c r="N35" s="17">
        <v>2113.0608700000003</v>
      </c>
      <c r="O35" s="4">
        <f t="shared" si="5"/>
        <v>3803.1720899999991</v>
      </c>
      <c r="P35" s="17">
        <v>21124.54088</v>
      </c>
      <c r="Q35" s="17">
        <v>16431.697236479999</v>
      </c>
      <c r="R35" s="4">
        <f t="shared" si="6"/>
        <v>4692.8436435200019</v>
      </c>
      <c r="S35" s="17">
        <v>7253.5266899999997</v>
      </c>
      <c r="T35" s="17">
        <v>7754.7021743099995</v>
      </c>
      <c r="U35" s="4">
        <f t="shared" si="7"/>
        <v>-501.17548430999977</v>
      </c>
      <c r="V35" s="17">
        <v>1696.5057799999997</v>
      </c>
      <c r="W35" s="17">
        <v>2805.8559935299995</v>
      </c>
      <c r="X35" s="4">
        <f t="shared" si="8"/>
        <v>-1109.3502135299998</v>
      </c>
      <c r="Y35" s="17">
        <v>30757.852793440001</v>
      </c>
      <c r="Z35" s="17">
        <v>34404.286807669996</v>
      </c>
      <c r="AA35" s="4">
        <f t="shared" si="9"/>
        <v>-3646.4340142299952</v>
      </c>
      <c r="AB35" s="17">
        <v>1239.9460200000001</v>
      </c>
      <c r="AC35" s="17">
        <v>1468.6568947200001</v>
      </c>
      <c r="AD35" s="4">
        <f t="shared" si="10"/>
        <v>-228.71087471999999</v>
      </c>
      <c r="AE35" s="17">
        <f t="shared" si="11"/>
        <v>62072.372163439999</v>
      </c>
      <c r="AF35" s="17">
        <f t="shared" si="12"/>
        <v>62865.199106709995</v>
      </c>
      <c r="AG35" s="4">
        <f t="shared" si="13"/>
        <v>-792.82694326999626</v>
      </c>
      <c r="AH35" s="17"/>
      <c r="AI35" s="17"/>
      <c r="AJ35" s="4">
        <f t="shared" si="14"/>
        <v>0</v>
      </c>
      <c r="AK35" s="17"/>
      <c r="AL35" s="17"/>
      <c r="AM35" s="4">
        <f t="shared" si="15"/>
        <v>0</v>
      </c>
      <c r="AN35" s="17">
        <f t="shared" si="16"/>
        <v>98822.35190655959</v>
      </c>
      <c r="AO35" s="17">
        <f t="shared" si="17"/>
        <v>616.31987379703787</v>
      </c>
      <c r="AP35" s="4">
        <f t="shared" si="18"/>
        <v>98206.032032762552</v>
      </c>
      <c r="AQ35" s="17">
        <v>12517.866026562499</v>
      </c>
      <c r="AR35" s="17">
        <v>5955.8212834639908</v>
      </c>
      <c r="AS35" s="4">
        <f t="shared" si="19"/>
        <v>6562.0447430985078</v>
      </c>
      <c r="AT35" s="17">
        <v>0</v>
      </c>
      <c r="AU35" s="17">
        <v>0</v>
      </c>
      <c r="AV35" s="4">
        <f t="shared" si="20"/>
        <v>0</v>
      </c>
      <c r="AW35" s="17">
        <f t="shared" si="21"/>
        <v>86304.485879997097</v>
      </c>
      <c r="AX35" s="17">
        <f t="shared" si="22"/>
        <v>-5339.5014096669529</v>
      </c>
      <c r="AY35" s="4">
        <f t="shared" si="23"/>
        <v>91643.987289664045</v>
      </c>
      <c r="AZ35" s="17">
        <f t="shared" si="24"/>
        <v>129580.20469999959</v>
      </c>
      <c r="BA35" s="17">
        <f t="shared" si="25"/>
        <v>35020.606681467034</v>
      </c>
      <c r="BB35" s="4">
        <f t="shared" si="26"/>
        <v>94559.598018532561</v>
      </c>
      <c r="BC35" s="17">
        <f t="shared" si="27"/>
        <v>130820.1507199996</v>
      </c>
      <c r="BD35" s="17">
        <f t="shared" si="28"/>
        <v>36489.263576187033</v>
      </c>
      <c r="BE35" s="4">
        <f t="shared" si="29"/>
        <v>94330.887143812564</v>
      </c>
      <c r="BF35" s="7"/>
    </row>
    <row r="36" spans="1:58" ht="15" customHeight="1" x14ac:dyDescent="0.3">
      <c r="A36" s="32"/>
      <c r="B36" s="3" t="s">
        <v>9</v>
      </c>
      <c r="C36" s="10" t="s">
        <v>39</v>
      </c>
      <c r="D36" s="17">
        <f t="shared" si="0"/>
        <v>582.32874883726799</v>
      </c>
      <c r="E36" s="17">
        <f t="shared" si="1"/>
        <v>793.64448495004217</v>
      </c>
      <c r="F36" s="4">
        <f t="shared" si="2"/>
        <v>-211.31573611277418</v>
      </c>
      <c r="G36" s="17">
        <v>173843.29712</v>
      </c>
      <c r="H36" s="17">
        <v>236927.63628844172</v>
      </c>
      <c r="I36" s="4">
        <f t="shared" si="3"/>
        <v>-63084.339168441715</v>
      </c>
      <c r="J36" s="17">
        <v>-98046.260000000242</v>
      </c>
      <c r="K36" s="17">
        <v>6778.5928791543838</v>
      </c>
      <c r="L36" s="4">
        <f t="shared" si="4"/>
        <v>-104824.85287915463</v>
      </c>
      <c r="M36" s="17">
        <v>1165.9554000000001</v>
      </c>
      <c r="N36" s="17">
        <v>0</v>
      </c>
      <c r="O36" s="4">
        <f t="shared" si="5"/>
        <v>1165.9554000000001</v>
      </c>
      <c r="P36" s="17">
        <v>0</v>
      </c>
      <c r="Q36" s="17">
        <v>383.32982083333337</v>
      </c>
      <c r="R36" s="4">
        <f t="shared" si="6"/>
        <v>-383.32982083333337</v>
      </c>
      <c r="S36" s="17">
        <v>544.16537999999991</v>
      </c>
      <c r="T36" s="17">
        <v>547.67526798333347</v>
      </c>
      <c r="U36" s="4">
        <f t="shared" si="7"/>
        <v>-3.5098879833335559</v>
      </c>
      <c r="V36" s="17">
        <v>154.30500000000001</v>
      </c>
      <c r="W36" s="17">
        <v>154.30500000000001</v>
      </c>
      <c r="X36" s="4">
        <f t="shared" si="8"/>
        <v>0</v>
      </c>
      <c r="Y36" s="17">
        <v>96.503950000000003</v>
      </c>
      <c r="Z36" s="17">
        <v>1223.2933354687318</v>
      </c>
      <c r="AA36" s="4">
        <f t="shared" si="9"/>
        <v>-1126.7893854687318</v>
      </c>
      <c r="AB36" s="17">
        <v>0</v>
      </c>
      <c r="AC36" s="17">
        <v>0</v>
      </c>
      <c r="AD36" s="4">
        <f t="shared" si="10"/>
        <v>0</v>
      </c>
      <c r="AE36" s="17">
        <f t="shared" si="11"/>
        <v>794.97433000000001</v>
      </c>
      <c r="AF36" s="17">
        <f t="shared" si="12"/>
        <v>2308.6034242853984</v>
      </c>
      <c r="AG36" s="4">
        <f t="shared" si="13"/>
        <v>-1513.6290942853984</v>
      </c>
      <c r="AH36" s="17"/>
      <c r="AI36" s="17"/>
      <c r="AJ36" s="4">
        <f t="shared" si="14"/>
        <v>0</v>
      </c>
      <c r="AK36" s="17"/>
      <c r="AL36" s="17"/>
      <c r="AM36" s="4">
        <f t="shared" si="15"/>
        <v>0</v>
      </c>
      <c r="AN36" s="17">
        <f t="shared" si="16"/>
        <v>-97675.278930000233</v>
      </c>
      <c r="AO36" s="17">
        <f t="shared" si="17"/>
        <v>4469.9894548689854</v>
      </c>
      <c r="AP36" s="4">
        <f t="shared" si="18"/>
        <v>-102145.26838486922</v>
      </c>
      <c r="AQ36" s="17">
        <v>1007.25626</v>
      </c>
      <c r="AR36" s="17">
        <v>0</v>
      </c>
      <c r="AS36" s="4">
        <f t="shared" si="19"/>
        <v>1007.25626</v>
      </c>
      <c r="AT36" s="17"/>
      <c r="AU36" s="17"/>
      <c r="AV36" s="4">
        <f t="shared" si="20"/>
        <v>0</v>
      </c>
      <c r="AW36" s="17">
        <f t="shared" si="21"/>
        <v>-98682.535190000228</v>
      </c>
      <c r="AX36" s="17">
        <f t="shared" si="22"/>
        <v>4469.9894548689854</v>
      </c>
      <c r="AY36" s="4">
        <f t="shared" si="23"/>
        <v>-103152.52464486922</v>
      </c>
      <c r="AZ36" s="17">
        <f t="shared" si="24"/>
        <v>-97578.774980000235</v>
      </c>
      <c r="BA36" s="17">
        <f t="shared" si="25"/>
        <v>5693.2827903377174</v>
      </c>
      <c r="BB36" s="4">
        <f t="shared" si="26"/>
        <v>-103272.05777033795</v>
      </c>
      <c r="BC36" s="17">
        <f t="shared" si="27"/>
        <v>-97578.774980000235</v>
      </c>
      <c r="BD36" s="17">
        <f t="shared" si="28"/>
        <v>5693.2827903377174</v>
      </c>
      <c r="BE36" s="4">
        <f t="shared" si="29"/>
        <v>-103272.05777033795</v>
      </c>
      <c r="BF36" s="7"/>
    </row>
    <row r="37" spans="1:58" ht="15" customHeight="1" x14ac:dyDescent="0.3">
      <c r="A37" s="32"/>
      <c r="B37" s="3" t="s">
        <v>9</v>
      </c>
      <c r="C37" s="10" t="s">
        <v>40</v>
      </c>
      <c r="D37" s="17">
        <f t="shared" si="0"/>
        <v>58.934568012261174</v>
      </c>
      <c r="E37" s="17">
        <f t="shared" si="1"/>
        <v>61.219067034815993</v>
      </c>
      <c r="F37" s="4">
        <f t="shared" si="2"/>
        <v>-2.2844990225548187</v>
      </c>
      <c r="G37" s="17">
        <v>17593.807000000001</v>
      </c>
      <c r="H37" s="17">
        <v>18275.801222578437</v>
      </c>
      <c r="I37" s="4">
        <f t="shared" si="3"/>
        <v>-681.99422257843617</v>
      </c>
      <c r="J37" s="17">
        <v>1510.742</v>
      </c>
      <c r="K37" s="17">
        <v>748.31528451017664</v>
      </c>
      <c r="L37" s="4">
        <f t="shared" si="4"/>
        <v>762.42671548982332</v>
      </c>
      <c r="M37" s="17">
        <v>24.702000000000002</v>
      </c>
      <c r="N37" s="17">
        <v>48.797416666666663</v>
      </c>
      <c r="O37" s="4">
        <f t="shared" si="5"/>
        <v>-24.095416666666662</v>
      </c>
      <c r="P37" s="17">
        <v>0</v>
      </c>
      <c r="Q37" s="17">
        <v>0</v>
      </c>
      <c r="R37" s="4">
        <f t="shared" si="6"/>
        <v>0</v>
      </c>
      <c r="S37" s="17">
        <v>1241.508</v>
      </c>
      <c r="T37" s="17">
        <v>1277.8961917414779</v>
      </c>
      <c r="U37" s="4">
        <f t="shared" si="7"/>
        <v>-36.38819174147784</v>
      </c>
      <c r="V37" s="17">
        <v>0</v>
      </c>
      <c r="W37" s="17">
        <v>0</v>
      </c>
      <c r="X37" s="4">
        <f t="shared" si="8"/>
        <v>0</v>
      </c>
      <c r="Y37" s="17">
        <v>0</v>
      </c>
      <c r="Z37" s="17">
        <v>0</v>
      </c>
      <c r="AA37" s="4">
        <f t="shared" si="9"/>
        <v>0</v>
      </c>
      <c r="AB37" s="17">
        <v>0</v>
      </c>
      <c r="AC37" s="17">
        <v>0</v>
      </c>
      <c r="AD37" s="4">
        <f t="shared" si="10"/>
        <v>0</v>
      </c>
      <c r="AE37" s="17">
        <f t="shared" si="11"/>
        <v>1241.508</v>
      </c>
      <c r="AF37" s="17">
        <f t="shared" si="12"/>
        <v>1277.8961917414779</v>
      </c>
      <c r="AG37" s="4">
        <f t="shared" si="13"/>
        <v>-36.38819174147784</v>
      </c>
      <c r="AH37" s="17"/>
      <c r="AI37" s="17"/>
      <c r="AJ37" s="4">
        <f t="shared" si="14"/>
        <v>0</v>
      </c>
      <c r="AK37" s="17"/>
      <c r="AL37" s="17"/>
      <c r="AM37" s="4">
        <f t="shared" si="15"/>
        <v>0</v>
      </c>
      <c r="AN37" s="17">
        <f t="shared" si="16"/>
        <v>293.93599999999992</v>
      </c>
      <c r="AO37" s="17">
        <f t="shared" si="17"/>
        <v>-480.78349056463458</v>
      </c>
      <c r="AP37" s="4">
        <f t="shared" si="18"/>
        <v>774.7194905646345</v>
      </c>
      <c r="AQ37" s="17">
        <v>0</v>
      </c>
      <c r="AR37" s="17">
        <v>0</v>
      </c>
      <c r="AS37" s="4">
        <f t="shared" si="19"/>
        <v>0</v>
      </c>
      <c r="AT37" s="17">
        <v>0</v>
      </c>
      <c r="AU37" s="17">
        <v>0</v>
      </c>
      <c r="AV37" s="4">
        <f t="shared" si="20"/>
        <v>0</v>
      </c>
      <c r="AW37" s="17">
        <f t="shared" si="21"/>
        <v>293.93599999999992</v>
      </c>
      <c r="AX37" s="17">
        <f t="shared" si="22"/>
        <v>-480.78349056463458</v>
      </c>
      <c r="AY37" s="4">
        <f t="shared" si="23"/>
        <v>774.7194905646345</v>
      </c>
      <c r="AZ37" s="17">
        <f t="shared" si="24"/>
        <v>293.93599999999992</v>
      </c>
      <c r="BA37" s="17">
        <f t="shared" si="25"/>
        <v>-480.78349056463458</v>
      </c>
      <c r="BB37" s="4">
        <f t="shared" si="26"/>
        <v>774.7194905646345</v>
      </c>
      <c r="BC37" s="17">
        <f t="shared" si="27"/>
        <v>293.93599999999992</v>
      </c>
      <c r="BD37" s="17">
        <f t="shared" si="28"/>
        <v>-480.78349056463458</v>
      </c>
      <c r="BE37" s="4">
        <f t="shared" si="29"/>
        <v>774.7194905646345</v>
      </c>
      <c r="BF37" s="7"/>
    </row>
    <row r="38" spans="1:58" ht="15" customHeight="1" x14ac:dyDescent="0.3">
      <c r="A38" s="32"/>
      <c r="B38" s="3" t="s">
        <v>9</v>
      </c>
      <c r="C38" s="10" t="s">
        <v>41</v>
      </c>
      <c r="D38" s="17">
        <f t="shared" si="0"/>
        <v>2.9018070314682989</v>
      </c>
      <c r="E38" s="17">
        <f t="shared" si="1"/>
        <v>5.4701151128929908</v>
      </c>
      <c r="F38" s="4">
        <f t="shared" si="2"/>
        <v>-2.5683080814246919</v>
      </c>
      <c r="G38" s="17">
        <v>866.27992000000006</v>
      </c>
      <c r="H38" s="17">
        <v>1633</v>
      </c>
      <c r="I38" s="4">
        <f t="shared" si="3"/>
        <v>-766.72007999999994</v>
      </c>
      <c r="J38" s="17">
        <v>232.19935999999998</v>
      </c>
      <c r="K38" s="17">
        <v>211.2</v>
      </c>
      <c r="L38" s="4">
        <f t="shared" si="4"/>
        <v>20.999359999999996</v>
      </c>
      <c r="M38" s="17">
        <v>3728.3470500000003</v>
      </c>
      <c r="N38" s="17">
        <v>36.5</v>
      </c>
      <c r="O38" s="4">
        <f t="shared" si="5"/>
        <v>3691.8470500000003</v>
      </c>
      <c r="P38" s="17">
        <v>452.97773999999998</v>
      </c>
      <c r="Q38" s="17">
        <v>472.9</v>
      </c>
      <c r="R38" s="4">
        <f t="shared" si="6"/>
        <v>-19.922259999999994</v>
      </c>
      <c r="S38" s="17">
        <v>18.359900000000003</v>
      </c>
      <c r="T38" s="17">
        <v>353.5</v>
      </c>
      <c r="U38" s="4">
        <f t="shared" si="7"/>
        <v>-335.14010000000002</v>
      </c>
      <c r="V38" s="17">
        <v>0</v>
      </c>
      <c r="W38" s="17">
        <v>0</v>
      </c>
      <c r="X38" s="4">
        <f t="shared" si="8"/>
        <v>0</v>
      </c>
      <c r="Y38" s="17">
        <v>6.9664099999999998</v>
      </c>
      <c r="Z38" s="17">
        <v>3.7</v>
      </c>
      <c r="AA38" s="4">
        <f t="shared" si="9"/>
        <v>3.2664099999999996</v>
      </c>
      <c r="AB38" s="17">
        <v>0</v>
      </c>
      <c r="AC38" s="17">
        <v>0</v>
      </c>
      <c r="AD38" s="4">
        <f t="shared" si="10"/>
        <v>0</v>
      </c>
      <c r="AE38" s="17">
        <f t="shared" si="11"/>
        <v>478.30404999999996</v>
      </c>
      <c r="AF38" s="17">
        <f t="shared" si="12"/>
        <v>830.1</v>
      </c>
      <c r="AG38" s="4">
        <f t="shared" si="13"/>
        <v>-351.79595000000006</v>
      </c>
      <c r="AH38" s="17"/>
      <c r="AI38" s="17"/>
      <c r="AJ38" s="4">
        <f t="shared" si="14"/>
        <v>0</v>
      </c>
      <c r="AK38" s="17"/>
      <c r="AL38" s="17"/>
      <c r="AM38" s="4">
        <f t="shared" si="15"/>
        <v>0</v>
      </c>
      <c r="AN38" s="17">
        <f t="shared" si="16"/>
        <v>3482.2423600000002</v>
      </c>
      <c r="AO38" s="17">
        <f t="shared" si="17"/>
        <v>-582.40000000000009</v>
      </c>
      <c r="AP38" s="4">
        <f t="shared" si="18"/>
        <v>4064.6423600000003</v>
      </c>
      <c r="AQ38" s="17">
        <v>4033.8020999999999</v>
      </c>
      <c r="AR38" s="17">
        <v>0</v>
      </c>
      <c r="AS38" s="4">
        <f t="shared" si="19"/>
        <v>4033.8020999999999</v>
      </c>
      <c r="AT38" s="17">
        <v>0</v>
      </c>
      <c r="AU38" s="17">
        <v>0</v>
      </c>
      <c r="AV38" s="4">
        <f t="shared" si="20"/>
        <v>0</v>
      </c>
      <c r="AW38" s="17">
        <f t="shared" si="21"/>
        <v>-551.55973999999969</v>
      </c>
      <c r="AX38" s="17">
        <f t="shared" si="22"/>
        <v>-582.40000000000009</v>
      </c>
      <c r="AY38" s="4">
        <f t="shared" si="23"/>
        <v>30.840260000000399</v>
      </c>
      <c r="AZ38" s="17">
        <f t="shared" si="24"/>
        <v>3489.2087700000002</v>
      </c>
      <c r="BA38" s="17">
        <f t="shared" si="25"/>
        <v>-578.70000000000005</v>
      </c>
      <c r="BB38" s="4">
        <f t="shared" si="26"/>
        <v>4067.90877</v>
      </c>
      <c r="BC38" s="17">
        <f t="shared" si="27"/>
        <v>3489.2087700000002</v>
      </c>
      <c r="BD38" s="17">
        <f t="shared" si="28"/>
        <v>-578.70000000000005</v>
      </c>
      <c r="BE38" s="4">
        <f t="shared" si="29"/>
        <v>4067.90877</v>
      </c>
      <c r="BF38" s="7"/>
    </row>
    <row r="39" spans="1:58" ht="15" customHeight="1" x14ac:dyDescent="0.3">
      <c r="A39" s="32"/>
      <c r="B39" s="3" t="s">
        <v>9</v>
      </c>
      <c r="C39" s="10" t="s">
        <v>42</v>
      </c>
      <c r="D39" s="17">
        <f t="shared" si="0"/>
        <v>49.629108318346084</v>
      </c>
      <c r="E39" s="17">
        <f t="shared" si="1"/>
        <v>50.001442952661023</v>
      </c>
      <c r="F39" s="4">
        <f t="shared" si="2"/>
        <v>-0.37233463431493874</v>
      </c>
      <c r="G39" s="17">
        <v>14815.837</v>
      </c>
      <c r="H39" s="17">
        <v>14926.990503223944</v>
      </c>
      <c r="I39" s="4">
        <f t="shared" si="3"/>
        <v>-111.15350322394443</v>
      </c>
      <c r="J39" s="17">
        <v>-1396.6859999999999</v>
      </c>
      <c r="K39" s="17">
        <v>-3282.9956005166068</v>
      </c>
      <c r="L39" s="4">
        <f t="shared" si="4"/>
        <v>1886.3096005166069</v>
      </c>
      <c r="M39" s="17">
        <v>10.398</v>
      </c>
      <c r="N39" s="17">
        <v>5.8590833333333334</v>
      </c>
      <c r="O39" s="4">
        <f t="shared" si="5"/>
        <v>4.5389166666666663</v>
      </c>
      <c r="P39" s="17">
        <v>0</v>
      </c>
      <c r="Q39" s="17">
        <v>0</v>
      </c>
      <c r="R39" s="4">
        <f t="shared" si="6"/>
        <v>0</v>
      </c>
      <c r="S39" s="17">
        <v>632.55200000000002</v>
      </c>
      <c r="T39" s="17">
        <v>595.62407231901352</v>
      </c>
      <c r="U39" s="4">
        <f t="shared" si="7"/>
        <v>36.9279276809865</v>
      </c>
      <c r="V39" s="17">
        <v>0</v>
      </c>
      <c r="W39" s="17">
        <v>0</v>
      </c>
      <c r="X39" s="4">
        <f t="shared" si="8"/>
        <v>0</v>
      </c>
      <c r="Y39" s="17">
        <v>0</v>
      </c>
      <c r="Z39" s="17">
        <v>0</v>
      </c>
      <c r="AA39" s="4">
        <f t="shared" si="9"/>
        <v>0</v>
      </c>
      <c r="AB39" s="17">
        <v>0</v>
      </c>
      <c r="AC39" s="17">
        <v>0</v>
      </c>
      <c r="AD39" s="4">
        <f t="shared" si="10"/>
        <v>0</v>
      </c>
      <c r="AE39" s="17">
        <f t="shared" si="11"/>
        <v>632.55200000000002</v>
      </c>
      <c r="AF39" s="17">
        <f t="shared" si="12"/>
        <v>595.62407231901352</v>
      </c>
      <c r="AG39" s="4">
        <f t="shared" si="13"/>
        <v>36.9279276809865</v>
      </c>
      <c r="AH39" s="17"/>
      <c r="AI39" s="17"/>
      <c r="AJ39" s="4">
        <f t="shared" si="14"/>
        <v>0</v>
      </c>
      <c r="AK39" s="17"/>
      <c r="AL39" s="17"/>
      <c r="AM39" s="4">
        <f t="shared" si="15"/>
        <v>0</v>
      </c>
      <c r="AN39" s="17">
        <f t="shared" si="16"/>
        <v>-2018.8400000000001</v>
      </c>
      <c r="AO39" s="17">
        <f t="shared" si="17"/>
        <v>-3872.7605895022871</v>
      </c>
      <c r="AP39" s="4">
        <f t="shared" si="18"/>
        <v>1853.9205895022869</v>
      </c>
      <c r="AQ39" s="17">
        <v>0</v>
      </c>
      <c r="AR39" s="17">
        <v>0</v>
      </c>
      <c r="AS39" s="4">
        <f t="shared" si="19"/>
        <v>0</v>
      </c>
      <c r="AT39" s="17">
        <v>0</v>
      </c>
      <c r="AU39" s="17">
        <v>0</v>
      </c>
      <c r="AV39" s="4">
        <f t="shared" si="20"/>
        <v>0</v>
      </c>
      <c r="AW39" s="17">
        <f t="shared" si="21"/>
        <v>-2018.8400000000001</v>
      </c>
      <c r="AX39" s="17">
        <f t="shared" si="22"/>
        <v>-3872.7605895022871</v>
      </c>
      <c r="AY39" s="4">
        <f t="shared" si="23"/>
        <v>1853.9205895022869</v>
      </c>
      <c r="AZ39" s="17">
        <f t="shared" si="24"/>
        <v>-2018.8400000000001</v>
      </c>
      <c r="BA39" s="17">
        <f t="shared" si="25"/>
        <v>-3872.7605895022871</v>
      </c>
      <c r="BB39" s="4">
        <f t="shared" si="26"/>
        <v>1853.9205895022869</v>
      </c>
      <c r="BC39" s="17">
        <f t="shared" si="27"/>
        <v>-2018.8400000000001</v>
      </c>
      <c r="BD39" s="17">
        <f t="shared" si="28"/>
        <v>-3872.7605895022871</v>
      </c>
      <c r="BE39" s="4">
        <f t="shared" si="29"/>
        <v>1853.9205895022869</v>
      </c>
      <c r="BF39" s="7"/>
    </row>
    <row r="40" spans="1:58" ht="15" customHeight="1" x14ac:dyDescent="0.3">
      <c r="A40" s="38"/>
      <c r="B40" s="3" t="s">
        <v>9</v>
      </c>
      <c r="C40" s="10" t="s">
        <v>43</v>
      </c>
      <c r="D40" s="17">
        <f t="shared" si="0"/>
        <v>357.03776308562959</v>
      </c>
      <c r="E40" s="17">
        <f t="shared" si="1"/>
        <v>0</v>
      </c>
      <c r="F40" s="4">
        <f t="shared" si="2"/>
        <v>357.03776308562959</v>
      </c>
      <c r="G40" s="17">
        <v>106586.90998012254</v>
      </c>
      <c r="H40" s="17">
        <v>0</v>
      </c>
      <c r="I40" s="4">
        <f t="shared" si="3"/>
        <v>106586.90998012254</v>
      </c>
      <c r="J40" s="17">
        <v>312.13014526952804</v>
      </c>
      <c r="K40" s="17">
        <v>0</v>
      </c>
      <c r="L40" s="4">
        <f t="shared" si="4"/>
        <v>312.13014526952804</v>
      </c>
      <c r="M40" s="17">
        <v>240.58021375085093</v>
      </c>
      <c r="N40" s="17">
        <v>0</v>
      </c>
      <c r="O40" s="4">
        <f t="shared" si="5"/>
        <v>240.58021375085093</v>
      </c>
      <c r="P40" s="17">
        <v>0</v>
      </c>
      <c r="Q40" s="17">
        <v>0</v>
      </c>
      <c r="R40" s="4">
        <f t="shared" si="6"/>
        <v>0</v>
      </c>
      <c r="S40" s="17">
        <v>543.320460368</v>
      </c>
      <c r="T40" s="17">
        <v>0</v>
      </c>
      <c r="U40" s="4">
        <f t="shared" si="7"/>
        <v>543.320460368</v>
      </c>
      <c r="V40" s="17">
        <v>0</v>
      </c>
      <c r="W40" s="17"/>
      <c r="X40" s="4">
        <f t="shared" si="8"/>
        <v>0</v>
      </c>
      <c r="Y40" s="17">
        <v>3.8240751140000002</v>
      </c>
      <c r="Z40" s="17">
        <v>0</v>
      </c>
      <c r="AA40" s="4">
        <f t="shared" si="9"/>
        <v>3.8240751140000002</v>
      </c>
      <c r="AB40" s="17">
        <v>0</v>
      </c>
      <c r="AC40" s="17">
        <v>0</v>
      </c>
      <c r="AD40" s="4">
        <f t="shared" si="10"/>
        <v>0</v>
      </c>
      <c r="AE40" s="17">
        <f t="shared" si="11"/>
        <v>547.14453548200004</v>
      </c>
      <c r="AF40" s="17">
        <f t="shared" si="12"/>
        <v>0</v>
      </c>
      <c r="AG40" s="4">
        <f t="shared" si="13"/>
        <v>547.14453548200004</v>
      </c>
      <c r="AH40" s="17"/>
      <c r="AI40" s="17"/>
      <c r="AJ40" s="4">
        <f t="shared" si="14"/>
        <v>0</v>
      </c>
      <c r="AK40" s="17"/>
      <c r="AL40" s="17"/>
      <c r="AM40" s="4">
        <f t="shared" si="15"/>
        <v>0</v>
      </c>
      <c r="AN40" s="17">
        <f t="shared" si="16"/>
        <v>5.5658235383789361</v>
      </c>
      <c r="AO40" s="17">
        <f t="shared" si="17"/>
        <v>0</v>
      </c>
      <c r="AP40" s="4">
        <f t="shared" si="18"/>
        <v>5.5658235383789361</v>
      </c>
      <c r="AQ40" s="17">
        <v>0</v>
      </c>
      <c r="AR40" s="17">
        <v>0</v>
      </c>
      <c r="AS40" s="4">
        <f t="shared" si="19"/>
        <v>0</v>
      </c>
      <c r="AT40" s="17">
        <v>0</v>
      </c>
      <c r="AU40" s="17">
        <v>0</v>
      </c>
      <c r="AV40" s="4">
        <f t="shared" si="20"/>
        <v>0</v>
      </c>
      <c r="AW40" s="17">
        <f t="shared" si="21"/>
        <v>5.5658235383789361</v>
      </c>
      <c r="AX40" s="17">
        <f t="shared" si="22"/>
        <v>0</v>
      </c>
      <c r="AY40" s="4">
        <f t="shared" si="23"/>
        <v>5.5658235383789361</v>
      </c>
      <c r="AZ40" s="17">
        <f t="shared" si="24"/>
        <v>9.3898986523789354</v>
      </c>
      <c r="BA40" s="17">
        <f t="shared" si="25"/>
        <v>0</v>
      </c>
      <c r="BB40" s="4">
        <f t="shared" si="26"/>
        <v>9.3898986523789354</v>
      </c>
      <c r="BC40" s="17">
        <f t="shared" si="27"/>
        <v>9.3898986523789354</v>
      </c>
      <c r="BD40" s="17">
        <f t="shared" si="28"/>
        <v>0</v>
      </c>
      <c r="BE40" s="4">
        <f t="shared" si="29"/>
        <v>9.3898986523789354</v>
      </c>
      <c r="BF40" s="7"/>
    </row>
    <row r="41" spans="1:58" s="20" customFormat="1" ht="15" customHeight="1" x14ac:dyDescent="0.3">
      <c r="A41" s="34" t="s">
        <v>11</v>
      </c>
      <c r="B41" s="35"/>
      <c r="C41" s="36"/>
      <c r="D41" s="18">
        <f>SUM(D35:D40)</f>
        <v>7969.1158777469109</v>
      </c>
      <c r="E41" s="18">
        <f>SUM(E35:E40)</f>
        <v>8950.1031771774906</v>
      </c>
      <c r="F41" s="19">
        <f t="shared" si="2"/>
        <v>-980.9872994305797</v>
      </c>
      <c r="G41" s="18">
        <f t="shared" ref="G41:H41" si="113">SUM(G35:G40)</f>
        <v>2379029.6839801227</v>
      </c>
      <c r="H41" s="18">
        <f t="shared" si="113"/>
        <v>2671884.9945008014</v>
      </c>
      <c r="I41" s="19">
        <f t="shared" si="3"/>
        <v>-292855.31052067876</v>
      </c>
      <c r="J41" s="18">
        <f t="shared" ref="J41:K41" si="114">SUM(J35:J40)</f>
        <v>57590.616615268875</v>
      </c>
      <c r="K41" s="18">
        <f t="shared" si="114"/>
        <v>65823.570673654976</v>
      </c>
      <c r="L41" s="19">
        <f t="shared" si="4"/>
        <v>-8232.9540583861017</v>
      </c>
      <c r="M41" s="18">
        <f t="shared" ref="M41:N41" si="115">SUM(M35:M40)</f>
        <v>11086.21562375085</v>
      </c>
      <c r="N41" s="18">
        <f t="shared" si="115"/>
        <v>2204.2173700000003</v>
      </c>
      <c r="O41" s="19">
        <f t="shared" si="5"/>
        <v>8881.9982537508495</v>
      </c>
      <c r="P41" s="18">
        <f t="shared" ref="P41:Q41" si="116">SUM(P35:P40)</f>
        <v>21577.518619999999</v>
      </c>
      <c r="Q41" s="18">
        <f t="shared" si="116"/>
        <v>17287.927057313333</v>
      </c>
      <c r="R41" s="19">
        <f t="shared" si="6"/>
        <v>4289.5915626866663</v>
      </c>
      <c r="S41" s="18">
        <f t="shared" ref="S41:T41" si="117">SUM(S35:S40)</f>
        <v>10233.432430367999</v>
      </c>
      <c r="T41" s="18">
        <f t="shared" si="117"/>
        <v>10529.397706353824</v>
      </c>
      <c r="U41" s="19">
        <f t="shared" si="7"/>
        <v>-295.96527598582543</v>
      </c>
      <c r="V41" s="18">
        <f t="shared" ref="V41:W41" si="118">SUM(V35:V40)</f>
        <v>1850.8107799999998</v>
      </c>
      <c r="W41" s="18">
        <f t="shared" si="118"/>
        <v>2960.1609935299994</v>
      </c>
      <c r="X41" s="19">
        <f t="shared" si="8"/>
        <v>-1109.3502135299996</v>
      </c>
      <c r="Y41" s="18">
        <f t="shared" ref="Y41:Z41" si="119">SUM(Y35:Y40)</f>
        <v>30865.147228554</v>
      </c>
      <c r="Z41" s="18">
        <f t="shared" si="119"/>
        <v>35631.280143138727</v>
      </c>
      <c r="AA41" s="19">
        <f t="shared" si="9"/>
        <v>-4766.1329145847267</v>
      </c>
      <c r="AB41" s="18">
        <f t="shared" ref="AB41:AC41" si="120">SUM(AB35:AB40)</f>
        <v>1239.9460200000001</v>
      </c>
      <c r="AC41" s="18">
        <f t="shared" si="120"/>
        <v>1468.6568947200001</v>
      </c>
      <c r="AD41" s="19">
        <f t="shared" si="10"/>
        <v>-228.71087471999999</v>
      </c>
      <c r="AE41" s="18">
        <f t="shared" ref="AE41:AF41" si="121">SUM(AE35:AE40)</f>
        <v>65766.855078922003</v>
      </c>
      <c r="AF41" s="18">
        <f t="shared" si="121"/>
        <v>67877.422795055885</v>
      </c>
      <c r="AG41" s="19">
        <f t="shared" si="13"/>
        <v>-2110.5677161338826</v>
      </c>
      <c r="AH41" s="18">
        <f t="shared" ref="AH41:AI41" si="122">SUM(AH35:AH40)</f>
        <v>0</v>
      </c>
      <c r="AI41" s="18">
        <f t="shared" si="122"/>
        <v>0</v>
      </c>
      <c r="AJ41" s="19">
        <f t="shared" si="14"/>
        <v>0</v>
      </c>
      <c r="AK41" s="18">
        <f t="shared" ref="AK41:AL41" si="123">SUM(AK35:AK40)</f>
        <v>0</v>
      </c>
      <c r="AL41" s="18">
        <f t="shared" si="123"/>
        <v>0</v>
      </c>
      <c r="AM41" s="19">
        <f t="shared" si="15"/>
        <v>0</v>
      </c>
      <c r="AN41" s="18">
        <f t="shared" ref="AN41:AO41" si="124">SUM(AN35:AN40)</f>
        <v>2909.9771600977356</v>
      </c>
      <c r="AO41" s="18">
        <f t="shared" si="124"/>
        <v>150.36524859910105</v>
      </c>
      <c r="AP41" s="19">
        <f t="shared" si="18"/>
        <v>2759.6119114986345</v>
      </c>
      <c r="AQ41" s="18">
        <f t="shared" ref="AQ41:AR41" si="125">SUM(AQ35:AQ40)</f>
        <v>17558.924386562499</v>
      </c>
      <c r="AR41" s="18">
        <f t="shared" si="125"/>
        <v>5955.8212834639908</v>
      </c>
      <c r="AS41" s="19">
        <f t="shared" si="19"/>
        <v>11603.103103098509</v>
      </c>
      <c r="AT41" s="18">
        <f t="shared" ref="AT41:AU41" si="126">SUM(AT35:AT40)</f>
        <v>0</v>
      </c>
      <c r="AU41" s="18">
        <f t="shared" si="126"/>
        <v>0</v>
      </c>
      <c r="AV41" s="19">
        <f t="shared" si="20"/>
        <v>0</v>
      </c>
      <c r="AW41" s="18">
        <f t="shared" ref="AW41:AX41" si="127">SUM(AW35:AW40)</f>
        <v>-14648.947226464752</v>
      </c>
      <c r="AX41" s="18">
        <f t="shared" si="127"/>
        <v>-5805.4560348648893</v>
      </c>
      <c r="AY41" s="19">
        <f t="shared" si="23"/>
        <v>-8843.4911915998637</v>
      </c>
      <c r="AZ41" s="18">
        <f t="shared" ref="AZ41:BA41" si="128">SUM(AZ35:AZ40)</f>
        <v>33775.12438865174</v>
      </c>
      <c r="BA41" s="18">
        <f t="shared" si="128"/>
        <v>35781.645391737831</v>
      </c>
      <c r="BB41" s="19">
        <f t="shared" si="26"/>
        <v>-2006.5210030860908</v>
      </c>
      <c r="BC41" s="18">
        <f t="shared" ref="BC41:BD41" si="129">SUM(BC35:BC40)</f>
        <v>35015.070408651743</v>
      </c>
      <c r="BD41" s="18">
        <f t="shared" si="129"/>
        <v>37250.302286457831</v>
      </c>
      <c r="BE41" s="19">
        <f t="shared" si="29"/>
        <v>-2235.2318778060871</v>
      </c>
      <c r="BF41" s="7"/>
    </row>
    <row r="42" spans="1:58" ht="15" customHeight="1" x14ac:dyDescent="0.3">
      <c r="A42" s="11" t="s">
        <v>49</v>
      </c>
      <c r="B42" s="3" t="s">
        <v>9</v>
      </c>
      <c r="C42" s="3" t="s">
        <v>49</v>
      </c>
      <c r="D42" s="17">
        <f t="shared" ref="D42" si="130">G42/$F$1</f>
        <v>107.86601811708758</v>
      </c>
      <c r="E42" s="17">
        <f t="shared" ref="E42" si="131">H42/$F$1</f>
        <v>123.42123586943497</v>
      </c>
      <c r="F42" s="4">
        <f t="shared" si="2"/>
        <v>-15.555217752347389</v>
      </c>
      <c r="G42" s="17">
        <v>32201.37126</v>
      </c>
      <c r="H42" s="17">
        <v>36845.089</v>
      </c>
      <c r="I42" s="4">
        <f t="shared" si="3"/>
        <v>-4643.71774</v>
      </c>
      <c r="J42" s="17">
        <v>23101.349710000002</v>
      </c>
      <c r="K42" s="17">
        <v>25330.492999999999</v>
      </c>
      <c r="L42" s="4">
        <f t="shared" si="4"/>
        <v>-2229.1432899999963</v>
      </c>
      <c r="M42" s="17"/>
      <c r="N42" s="17"/>
      <c r="O42" s="4">
        <f t="shared" si="5"/>
        <v>0</v>
      </c>
      <c r="P42" s="17">
        <v>11516.3452</v>
      </c>
      <c r="Q42" s="17">
        <v>11402.17</v>
      </c>
      <c r="R42" s="4">
        <f t="shared" si="6"/>
        <v>114.17519999999968</v>
      </c>
      <c r="S42" s="17">
        <v>7126.4193499999992</v>
      </c>
      <c r="T42" s="17">
        <v>8951.36</v>
      </c>
      <c r="U42" s="4">
        <f t="shared" si="7"/>
        <v>-1824.9406500000014</v>
      </c>
      <c r="V42" s="17">
        <v>3412.8346099999999</v>
      </c>
      <c r="W42" s="17">
        <v>3426.5630000000001</v>
      </c>
      <c r="X42" s="4">
        <f t="shared" si="8"/>
        <v>-13.728390000000218</v>
      </c>
      <c r="Y42" s="17">
        <v>1094.9120600000001</v>
      </c>
      <c r="Z42" s="17">
        <v>612.024</v>
      </c>
      <c r="AA42" s="4">
        <f t="shared" si="9"/>
        <v>482.88806000000011</v>
      </c>
      <c r="AB42" s="17">
        <v>1067.5347899999999</v>
      </c>
      <c r="AC42" s="17">
        <v>1400</v>
      </c>
      <c r="AD42" s="4">
        <f t="shared" si="10"/>
        <v>-332.46521000000007</v>
      </c>
      <c r="AE42" s="17">
        <f t="shared" si="11"/>
        <v>24218.046009999998</v>
      </c>
      <c r="AF42" s="17">
        <f t="shared" si="12"/>
        <v>25792.117000000002</v>
      </c>
      <c r="AG42" s="4">
        <f t="shared" si="13"/>
        <v>-1574.0709900000038</v>
      </c>
      <c r="AH42" s="17"/>
      <c r="AI42" s="17"/>
      <c r="AJ42" s="4">
        <f t="shared" si="14"/>
        <v>0</v>
      </c>
      <c r="AK42" s="17"/>
      <c r="AL42" s="17"/>
      <c r="AM42" s="4">
        <f t="shared" si="15"/>
        <v>0</v>
      </c>
      <c r="AN42" s="17">
        <f t="shared" si="16"/>
        <v>-1116.696299999996</v>
      </c>
      <c r="AO42" s="17">
        <f t="shared" si="16"/>
        <v>-461.62400000000343</v>
      </c>
      <c r="AP42" s="4">
        <f t="shared" si="18"/>
        <v>-655.07229999999254</v>
      </c>
      <c r="AQ42" s="17"/>
      <c r="AR42" s="17"/>
      <c r="AS42" s="4">
        <f t="shared" si="19"/>
        <v>0</v>
      </c>
      <c r="AT42" s="17"/>
      <c r="AU42" s="17"/>
      <c r="AV42" s="4">
        <f t="shared" si="20"/>
        <v>0</v>
      </c>
      <c r="AW42" s="17">
        <f t="shared" si="21"/>
        <v>-1116.696299999996</v>
      </c>
      <c r="AX42" s="17">
        <f t="shared" si="22"/>
        <v>-461.62400000000343</v>
      </c>
      <c r="AY42" s="4">
        <f t="shared" si="23"/>
        <v>-655.07229999999254</v>
      </c>
      <c r="AZ42" s="17">
        <f t="shared" si="24"/>
        <v>-21.784239999995862</v>
      </c>
      <c r="BA42" s="17">
        <f t="shared" si="25"/>
        <v>150.39999999999657</v>
      </c>
      <c r="BB42" s="4">
        <f t="shared" si="26"/>
        <v>-172.18423999999243</v>
      </c>
      <c r="BC42" s="17">
        <f t="shared" si="27"/>
        <v>1045.7505500000041</v>
      </c>
      <c r="BD42" s="17">
        <f t="shared" si="28"/>
        <v>1550.3999999999965</v>
      </c>
      <c r="BE42" s="4">
        <f t="shared" si="29"/>
        <v>-504.64944999999238</v>
      </c>
      <c r="BF42" s="7"/>
    </row>
    <row r="43" spans="1:58" s="20" customFormat="1" ht="15" customHeight="1" x14ac:dyDescent="0.3">
      <c r="A43" s="34" t="s">
        <v>11</v>
      </c>
      <c r="B43" s="35"/>
      <c r="C43" s="36"/>
      <c r="D43" s="18">
        <f>SUM(D42)</f>
        <v>107.86601811708758</v>
      </c>
      <c r="E43" s="18">
        <f>SUM(E42)</f>
        <v>123.42123586943497</v>
      </c>
      <c r="F43" s="19">
        <f t="shared" ref="F43" si="132">D43-E43</f>
        <v>-15.555217752347389</v>
      </c>
      <c r="G43" s="18">
        <f t="shared" ref="G43:H43" si="133">SUM(G42)</f>
        <v>32201.37126</v>
      </c>
      <c r="H43" s="18">
        <f t="shared" si="133"/>
        <v>36845.089</v>
      </c>
      <c r="I43" s="19">
        <f t="shared" si="3"/>
        <v>-4643.71774</v>
      </c>
      <c r="J43" s="18">
        <f t="shared" ref="J43:K43" si="134">SUM(J42)</f>
        <v>23101.349710000002</v>
      </c>
      <c r="K43" s="18">
        <f t="shared" si="134"/>
        <v>25330.492999999999</v>
      </c>
      <c r="L43" s="19">
        <f t="shared" si="4"/>
        <v>-2229.1432899999963</v>
      </c>
      <c r="M43" s="18">
        <f t="shared" ref="M43:N43" si="135">SUM(M42)</f>
        <v>0</v>
      </c>
      <c r="N43" s="18">
        <f t="shared" si="135"/>
        <v>0</v>
      </c>
      <c r="O43" s="19">
        <f t="shared" si="5"/>
        <v>0</v>
      </c>
      <c r="P43" s="18">
        <f t="shared" ref="P43:Q43" si="136">SUM(P42)</f>
        <v>11516.3452</v>
      </c>
      <c r="Q43" s="18">
        <f t="shared" si="136"/>
        <v>11402.17</v>
      </c>
      <c r="R43" s="19">
        <f t="shared" si="6"/>
        <v>114.17519999999968</v>
      </c>
      <c r="S43" s="18">
        <f t="shared" ref="S43:T43" si="137">SUM(S42)</f>
        <v>7126.4193499999992</v>
      </c>
      <c r="T43" s="18">
        <f t="shared" si="137"/>
        <v>8951.36</v>
      </c>
      <c r="U43" s="19">
        <f t="shared" si="7"/>
        <v>-1824.9406500000014</v>
      </c>
      <c r="V43" s="18">
        <f t="shared" ref="V43:W43" si="138">SUM(V42)</f>
        <v>3412.8346099999999</v>
      </c>
      <c r="W43" s="18">
        <f t="shared" si="138"/>
        <v>3426.5630000000001</v>
      </c>
      <c r="X43" s="19">
        <f t="shared" si="8"/>
        <v>-13.728390000000218</v>
      </c>
      <c r="Y43" s="18">
        <f t="shared" ref="Y43:Z43" si="139">SUM(Y42)</f>
        <v>1094.9120600000001</v>
      </c>
      <c r="Z43" s="18">
        <f t="shared" si="139"/>
        <v>612.024</v>
      </c>
      <c r="AA43" s="19">
        <f t="shared" si="9"/>
        <v>482.88806000000011</v>
      </c>
      <c r="AB43" s="18">
        <f t="shared" ref="AB43:AC43" si="140">SUM(AB42)</f>
        <v>1067.5347899999999</v>
      </c>
      <c r="AC43" s="18">
        <f t="shared" si="140"/>
        <v>1400</v>
      </c>
      <c r="AD43" s="19">
        <f t="shared" si="10"/>
        <v>-332.46521000000007</v>
      </c>
      <c r="AE43" s="18">
        <f t="shared" ref="AE43:AF43" si="141">SUM(AE42)</f>
        <v>24218.046009999998</v>
      </c>
      <c r="AF43" s="18">
        <f t="shared" si="141"/>
        <v>25792.117000000002</v>
      </c>
      <c r="AG43" s="19">
        <f t="shared" si="13"/>
        <v>-1574.0709900000038</v>
      </c>
      <c r="AH43" s="18">
        <f t="shared" ref="AH43:AI43" si="142">SUM(AH42)</f>
        <v>0</v>
      </c>
      <c r="AI43" s="18">
        <f t="shared" si="142"/>
        <v>0</v>
      </c>
      <c r="AJ43" s="19">
        <f t="shared" si="14"/>
        <v>0</v>
      </c>
      <c r="AK43" s="18">
        <f t="shared" ref="AK43:AL43" si="143">SUM(AK42)</f>
        <v>0</v>
      </c>
      <c r="AL43" s="18">
        <f t="shared" si="143"/>
        <v>0</v>
      </c>
      <c r="AM43" s="19">
        <f t="shared" si="15"/>
        <v>0</v>
      </c>
      <c r="AN43" s="18">
        <f t="shared" ref="AN43:AO43" si="144">SUM(AN42)</f>
        <v>-1116.696299999996</v>
      </c>
      <c r="AO43" s="18">
        <f t="shared" si="144"/>
        <v>-461.62400000000343</v>
      </c>
      <c r="AP43" s="19">
        <f t="shared" si="18"/>
        <v>-655.07229999999254</v>
      </c>
      <c r="AQ43" s="18">
        <f t="shared" ref="AQ43:AR43" si="145">SUM(AQ42)</f>
        <v>0</v>
      </c>
      <c r="AR43" s="18">
        <f t="shared" si="145"/>
        <v>0</v>
      </c>
      <c r="AS43" s="19">
        <f t="shared" si="19"/>
        <v>0</v>
      </c>
      <c r="AT43" s="18">
        <f t="shared" ref="AT43:AU43" si="146">SUM(AT42)</f>
        <v>0</v>
      </c>
      <c r="AU43" s="18">
        <f t="shared" si="146"/>
        <v>0</v>
      </c>
      <c r="AV43" s="19">
        <f t="shared" si="20"/>
        <v>0</v>
      </c>
      <c r="AW43" s="18">
        <f t="shared" ref="AW43:AX43" si="147">SUM(AW42)</f>
        <v>-1116.696299999996</v>
      </c>
      <c r="AX43" s="18">
        <f t="shared" si="147"/>
        <v>-461.62400000000343</v>
      </c>
      <c r="AY43" s="19">
        <f t="shared" si="23"/>
        <v>-655.07229999999254</v>
      </c>
      <c r="AZ43" s="18">
        <f t="shared" ref="AZ43:BA43" si="148">SUM(AZ42)</f>
        <v>-21.784239999995862</v>
      </c>
      <c r="BA43" s="18">
        <f t="shared" si="148"/>
        <v>150.39999999999657</v>
      </c>
      <c r="BB43" s="19">
        <f t="shared" si="26"/>
        <v>-172.18423999999243</v>
      </c>
      <c r="BC43" s="18">
        <f t="shared" ref="BC43:BD43" si="149">SUM(BC42)</f>
        <v>1045.7505500000041</v>
      </c>
      <c r="BD43" s="18">
        <f t="shared" si="149"/>
        <v>1550.3999999999965</v>
      </c>
      <c r="BE43" s="19">
        <f t="shared" si="29"/>
        <v>-504.64944999999238</v>
      </c>
      <c r="BF43" s="7"/>
    </row>
    <row r="44" spans="1:58" ht="15" customHeight="1" x14ac:dyDescent="0.3">
      <c r="A44" s="37" t="s">
        <v>52</v>
      </c>
      <c r="B44" s="3" t="s">
        <v>9</v>
      </c>
      <c r="C44" s="2" t="s">
        <v>53</v>
      </c>
      <c r="D44" s="17">
        <f t="shared" si="0"/>
        <v>1.9987391955001026</v>
      </c>
      <c r="E44" s="17">
        <f t="shared" si="1"/>
        <v>2.2366372820387799</v>
      </c>
      <c r="F44" s="4">
        <f t="shared" si="2"/>
        <v>-0.23789808653867728</v>
      </c>
      <c r="G44" s="17">
        <v>596.68600000000004</v>
      </c>
      <c r="H44" s="17">
        <v>667.70600000000002</v>
      </c>
      <c r="I44" s="4">
        <f t="shared" si="3"/>
        <v>-71.019999999999982</v>
      </c>
      <c r="J44" s="17">
        <v>596.68600000000004</v>
      </c>
      <c r="K44" s="17">
        <v>667.70600000000002</v>
      </c>
      <c r="L44" s="4">
        <f t="shared" si="4"/>
        <v>-71.019999999999982</v>
      </c>
      <c r="M44" s="17">
        <v>24.968</v>
      </c>
      <c r="N44" s="17">
        <v>64.775000000000006</v>
      </c>
      <c r="O44" s="4">
        <f t="shared" si="5"/>
        <v>-39.807000000000002</v>
      </c>
      <c r="P44" s="17">
        <v>0</v>
      </c>
      <c r="Q44" s="17">
        <v>0</v>
      </c>
      <c r="R44" s="4">
        <f t="shared" si="6"/>
        <v>0</v>
      </c>
      <c r="S44" s="17">
        <v>694.28099999999995</v>
      </c>
      <c r="T44" s="17">
        <v>668.25</v>
      </c>
      <c r="U44" s="4">
        <f t="shared" si="7"/>
        <v>26.030999999999949</v>
      </c>
      <c r="V44" s="17">
        <v>0</v>
      </c>
      <c r="W44" s="17">
        <v>0</v>
      </c>
      <c r="X44" s="4">
        <f t="shared" si="8"/>
        <v>0</v>
      </c>
      <c r="Y44" s="17"/>
      <c r="Z44" s="17"/>
      <c r="AA44" s="4">
        <f t="shared" si="9"/>
        <v>0</v>
      </c>
      <c r="AB44" s="17">
        <v>48.540999999999997</v>
      </c>
      <c r="AC44" s="17">
        <v>0</v>
      </c>
      <c r="AD44" s="4">
        <f t="shared" si="10"/>
        <v>48.540999999999997</v>
      </c>
      <c r="AE44" s="17">
        <f t="shared" si="11"/>
        <v>742.82199999999989</v>
      </c>
      <c r="AF44" s="17">
        <f t="shared" si="12"/>
        <v>668.25</v>
      </c>
      <c r="AG44" s="4">
        <f t="shared" si="13"/>
        <v>74.571999999999889</v>
      </c>
      <c r="AH44" s="17"/>
      <c r="AI44" s="17"/>
      <c r="AJ44" s="4">
        <f t="shared" si="14"/>
        <v>0</v>
      </c>
      <c r="AK44" s="17"/>
      <c r="AL44" s="17"/>
      <c r="AM44" s="4">
        <f t="shared" ref="AM44:AM51" si="150">AK44-AL44</f>
        <v>0</v>
      </c>
      <c r="AN44" s="17">
        <f t="shared" ref="AN44:AO51" si="151">J44+M44-AE44+AH44+AK44</f>
        <v>-121.16799999999989</v>
      </c>
      <c r="AO44" s="17">
        <f t="shared" si="151"/>
        <v>64.230999999999995</v>
      </c>
      <c r="AP44" s="4">
        <f t="shared" si="18"/>
        <v>-185.39899999999989</v>
      </c>
      <c r="AQ44" s="17">
        <v>0</v>
      </c>
      <c r="AR44" s="17">
        <v>0</v>
      </c>
      <c r="AS44" s="4">
        <f t="shared" ref="AS44:AS51" si="152">AQ44-AR44</f>
        <v>0</v>
      </c>
      <c r="AT44" s="17"/>
      <c r="AU44" s="17"/>
      <c r="AV44" s="4">
        <f t="shared" si="20"/>
        <v>0</v>
      </c>
      <c r="AW44" s="17">
        <f t="shared" ref="AW44:AX51" si="153">AN44-AQ44+AT44</f>
        <v>-121.16799999999989</v>
      </c>
      <c r="AX44" s="17">
        <f t="shared" si="153"/>
        <v>64.230999999999995</v>
      </c>
      <c r="AY44" s="4">
        <f t="shared" si="23"/>
        <v>-185.39899999999989</v>
      </c>
      <c r="AZ44" s="17">
        <f t="shared" si="24"/>
        <v>-121.16799999999989</v>
      </c>
      <c r="BA44" s="17">
        <f t="shared" si="25"/>
        <v>64.230999999999995</v>
      </c>
      <c r="BB44" s="4">
        <f t="shared" si="26"/>
        <v>-185.39899999999989</v>
      </c>
      <c r="BC44" s="17">
        <f t="shared" si="27"/>
        <v>-72.626999999999896</v>
      </c>
      <c r="BD44" s="17">
        <f t="shared" si="28"/>
        <v>64.230999999999995</v>
      </c>
      <c r="BE44" s="4">
        <f t="shared" si="29"/>
        <v>-136.85799999999989</v>
      </c>
      <c r="BF44" s="7" t="s">
        <v>54</v>
      </c>
    </row>
    <row r="45" spans="1:58" ht="15" customHeight="1" x14ac:dyDescent="0.3">
      <c r="A45" s="32"/>
      <c r="B45" s="3" t="s">
        <v>9</v>
      </c>
      <c r="C45" s="2" t="s">
        <v>55</v>
      </c>
      <c r="D45" s="17">
        <f t="shared" si="0"/>
        <v>43.411162513264301</v>
      </c>
      <c r="E45" s="17">
        <f t="shared" si="1"/>
        <v>44.58782611222135</v>
      </c>
      <c r="F45" s="4">
        <f t="shared" si="2"/>
        <v>-1.1766635989570489</v>
      </c>
      <c r="G45" s="17">
        <v>12959.586210000001</v>
      </c>
      <c r="H45" s="17">
        <v>13310.857</v>
      </c>
      <c r="I45" s="4">
        <f t="shared" si="3"/>
        <v>-351.27078999999867</v>
      </c>
      <c r="J45" s="17">
        <v>13658.370074406781</v>
      </c>
      <c r="K45" s="17">
        <v>14051.978999999999</v>
      </c>
      <c r="L45" s="4">
        <f t="shared" si="4"/>
        <v>-393.60892559321837</v>
      </c>
      <c r="M45" s="17">
        <v>1036.2498644067796</v>
      </c>
      <c r="N45" s="17">
        <v>1091</v>
      </c>
      <c r="O45" s="4">
        <f t="shared" si="5"/>
        <v>-54.750135593220421</v>
      </c>
      <c r="P45" s="17">
        <v>2483.748</v>
      </c>
      <c r="Q45" s="17">
        <v>2593.7979999999998</v>
      </c>
      <c r="R45" s="4">
        <f t="shared" si="6"/>
        <v>-110.04999999999973</v>
      </c>
      <c r="S45" s="17">
        <v>5501.0879999999997</v>
      </c>
      <c r="T45" s="17">
        <v>6108.6859999999997</v>
      </c>
      <c r="U45" s="4">
        <f t="shared" si="7"/>
        <v>-607.59799999999996</v>
      </c>
      <c r="V45" s="17">
        <v>57.51</v>
      </c>
      <c r="W45" s="17">
        <v>0</v>
      </c>
      <c r="X45" s="4">
        <f t="shared" si="8"/>
        <v>57.51</v>
      </c>
      <c r="Y45" s="17"/>
      <c r="Z45" s="17"/>
      <c r="AA45" s="4">
        <f t="shared" si="9"/>
        <v>0</v>
      </c>
      <c r="AB45" s="17">
        <v>137.75899999999999</v>
      </c>
      <c r="AC45" s="17">
        <v>171.29300000000001</v>
      </c>
      <c r="AD45" s="4">
        <f t="shared" si="10"/>
        <v>-33.53400000000002</v>
      </c>
      <c r="AE45" s="17">
        <f t="shared" si="11"/>
        <v>8180.1049999999996</v>
      </c>
      <c r="AF45" s="17">
        <f t="shared" si="12"/>
        <v>8873.777</v>
      </c>
      <c r="AG45" s="4">
        <f t="shared" si="13"/>
        <v>-693.67200000000048</v>
      </c>
      <c r="AH45" s="17"/>
      <c r="AI45" s="17"/>
      <c r="AJ45" s="4">
        <f t="shared" si="14"/>
        <v>0</v>
      </c>
      <c r="AK45" s="17"/>
      <c r="AL45" s="17"/>
      <c r="AM45" s="4">
        <f t="shared" si="150"/>
        <v>0</v>
      </c>
      <c r="AN45" s="17">
        <f t="shared" si="151"/>
        <v>6514.5149388135615</v>
      </c>
      <c r="AO45" s="17">
        <f t="shared" si="151"/>
        <v>6269.2019999999993</v>
      </c>
      <c r="AP45" s="4">
        <f t="shared" si="18"/>
        <v>245.31293881356214</v>
      </c>
      <c r="AQ45" s="17">
        <v>4027.152</v>
      </c>
      <c r="AR45" s="17">
        <v>4025.3780000000002</v>
      </c>
      <c r="AS45" s="4">
        <f t="shared" si="152"/>
        <v>1.7739999999998872</v>
      </c>
      <c r="AT45" s="17"/>
      <c r="AU45" s="17"/>
      <c r="AV45" s="4">
        <f t="shared" si="20"/>
        <v>0</v>
      </c>
      <c r="AW45" s="17">
        <f t="shared" si="153"/>
        <v>2487.3629388135614</v>
      </c>
      <c r="AX45" s="17">
        <f t="shared" si="153"/>
        <v>2243.8239999999992</v>
      </c>
      <c r="AY45" s="4">
        <f t="shared" si="23"/>
        <v>243.53893881356225</v>
      </c>
      <c r="AZ45" s="17">
        <f t="shared" si="24"/>
        <v>6514.5149388135615</v>
      </c>
      <c r="BA45" s="17">
        <f t="shared" si="25"/>
        <v>6269.2019999999993</v>
      </c>
      <c r="BB45" s="4">
        <f t="shared" si="26"/>
        <v>245.31293881356214</v>
      </c>
      <c r="BC45" s="17">
        <f t="shared" si="27"/>
        <v>6652.2739388135615</v>
      </c>
      <c r="BD45" s="17">
        <f t="shared" si="28"/>
        <v>6440.494999999999</v>
      </c>
      <c r="BE45" s="4">
        <f t="shared" si="29"/>
        <v>211.77893881356249</v>
      </c>
      <c r="BF45" s="7" t="s">
        <v>56</v>
      </c>
    </row>
    <row r="46" spans="1:58" ht="15" customHeight="1" x14ac:dyDescent="0.3">
      <c r="A46" s="32"/>
      <c r="B46" s="3" t="s">
        <v>9</v>
      </c>
      <c r="C46" s="1" t="s">
        <v>57</v>
      </c>
      <c r="D46" s="17">
        <f t="shared" si="0"/>
        <v>5.3960759491818617</v>
      </c>
      <c r="E46" s="17">
        <f t="shared" si="1"/>
        <v>5.3960759491818617</v>
      </c>
      <c r="F46" s="4">
        <f t="shared" si="2"/>
        <v>0</v>
      </c>
      <c r="G46" s="17">
        <v>1610.8969999999999</v>
      </c>
      <c r="H46" s="17">
        <v>1610.8969999999999</v>
      </c>
      <c r="I46" s="4">
        <f t="shared" si="3"/>
        <v>0</v>
      </c>
      <c r="J46" s="17">
        <v>1624.46</v>
      </c>
      <c r="K46" s="17">
        <v>1622.385</v>
      </c>
      <c r="L46" s="4">
        <f t="shared" si="4"/>
        <v>2.0750000000000455</v>
      </c>
      <c r="M46" s="17">
        <v>0</v>
      </c>
      <c r="N46" s="17">
        <v>0</v>
      </c>
      <c r="O46" s="4">
        <f t="shared" si="5"/>
        <v>0</v>
      </c>
      <c r="P46" s="17">
        <v>280.79500000000002</v>
      </c>
      <c r="Q46" s="17">
        <v>233.07400000000001</v>
      </c>
      <c r="R46" s="4">
        <f t="shared" si="6"/>
        <v>47.721000000000004</v>
      </c>
      <c r="S46" s="17">
        <v>1346.931</v>
      </c>
      <c r="T46" s="17">
        <v>1271.2270000000001</v>
      </c>
      <c r="U46" s="4">
        <f t="shared" si="7"/>
        <v>75.703999999999951</v>
      </c>
      <c r="V46" s="17">
        <v>0</v>
      </c>
      <c r="W46" s="17">
        <v>0</v>
      </c>
      <c r="X46" s="4">
        <f t="shared" si="8"/>
        <v>0</v>
      </c>
      <c r="Y46" s="17"/>
      <c r="Z46" s="17"/>
      <c r="AA46" s="4">
        <f t="shared" si="9"/>
        <v>0</v>
      </c>
      <c r="AB46" s="17">
        <v>19.116</v>
      </c>
      <c r="AC46" s="17">
        <v>24.312000000000001</v>
      </c>
      <c r="AD46" s="4">
        <f t="shared" si="10"/>
        <v>-5.1960000000000015</v>
      </c>
      <c r="AE46" s="17">
        <f t="shared" si="11"/>
        <v>1646.8420000000001</v>
      </c>
      <c r="AF46" s="17">
        <f t="shared" si="12"/>
        <v>1528.6130000000001</v>
      </c>
      <c r="AG46" s="4">
        <f t="shared" si="13"/>
        <v>118.22900000000004</v>
      </c>
      <c r="AH46" s="17"/>
      <c r="AI46" s="17"/>
      <c r="AJ46" s="4">
        <f t="shared" si="14"/>
        <v>0</v>
      </c>
      <c r="AK46" s="17"/>
      <c r="AL46" s="17"/>
      <c r="AM46" s="4">
        <f t="shared" si="150"/>
        <v>0</v>
      </c>
      <c r="AN46" s="17">
        <f t="shared" si="151"/>
        <v>-22.382000000000062</v>
      </c>
      <c r="AO46" s="17">
        <f t="shared" si="151"/>
        <v>93.771999999999935</v>
      </c>
      <c r="AP46" s="4">
        <f t="shared" si="18"/>
        <v>-116.154</v>
      </c>
      <c r="AQ46" s="17">
        <v>0</v>
      </c>
      <c r="AR46" s="17">
        <v>0</v>
      </c>
      <c r="AS46" s="4">
        <f t="shared" si="152"/>
        <v>0</v>
      </c>
      <c r="AT46" s="17"/>
      <c r="AU46" s="17"/>
      <c r="AV46" s="4">
        <f t="shared" si="20"/>
        <v>0</v>
      </c>
      <c r="AW46" s="17">
        <f t="shared" si="153"/>
        <v>-22.382000000000062</v>
      </c>
      <c r="AX46" s="17">
        <f t="shared" si="153"/>
        <v>93.771999999999935</v>
      </c>
      <c r="AY46" s="4">
        <f t="shared" si="23"/>
        <v>-116.154</v>
      </c>
      <c r="AZ46" s="17">
        <f t="shared" si="24"/>
        <v>-22.382000000000062</v>
      </c>
      <c r="BA46" s="17">
        <f t="shared" si="25"/>
        <v>93.771999999999935</v>
      </c>
      <c r="BB46" s="4">
        <f t="shared" si="26"/>
        <v>-116.154</v>
      </c>
      <c r="BC46" s="17">
        <f t="shared" si="27"/>
        <v>-3.2660000000000622</v>
      </c>
      <c r="BD46" s="17">
        <f t="shared" si="28"/>
        <v>118.08399999999993</v>
      </c>
      <c r="BE46" s="4">
        <f t="shared" si="29"/>
        <v>-121.35</v>
      </c>
      <c r="BF46" s="7" t="s">
        <v>58</v>
      </c>
    </row>
    <row r="47" spans="1:58" ht="15" customHeight="1" x14ac:dyDescent="0.3">
      <c r="A47" s="32"/>
      <c r="B47" s="3" t="s">
        <v>9</v>
      </c>
      <c r="C47" s="1" t="s">
        <v>59</v>
      </c>
      <c r="D47" s="17">
        <f t="shared" si="0"/>
        <v>8.1223002578924746</v>
      </c>
      <c r="E47" s="17">
        <f t="shared" si="1"/>
        <v>8.7252523217753506</v>
      </c>
      <c r="F47" s="4">
        <f t="shared" si="2"/>
        <v>-0.60295206388287603</v>
      </c>
      <c r="G47" s="17">
        <v>2424.7600000000002</v>
      </c>
      <c r="H47" s="17">
        <v>2604.7600000000002</v>
      </c>
      <c r="I47" s="4">
        <f t="shared" si="3"/>
        <v>-180</v>
      </c>
      <c r="J47" s="17">
        <v>2424.7600000000002</v>
      </c>
      <c r="K47" s="17">
        <v>2604.7600000000002</v>
      </c>
      <c r="L47" s="4">
        <f t="shared" si="4"/>
        <v>-180</v>
      </c>
      <c r="M47" s="17">
        <v>0</v>
      </c>
      <c r="N47" s="17">
        <v>0</v>
      </c>
      <c r="O47" s="4">
        <f t="shared" si="5"/>
        <v>0</v>
      </c>
      <c r="P47" s="17">
        <v>0</v>
      </c>
      <c r="Q47" s="17">
        <v>0</v>
      </c>
      <c r="R47" s="4">
        <f t="shared" si="6"/>
        <v>0</v>
      </c>
      <c r="S47" s="17">
        <v>731.75</v>
      </c>
      <c r="T47" s="17">
        <v>736.19399999999996</v>
      </c>
      <c r="U47" s="4">
        <f t="shared" si="7"/>
        <v>-4.44399999999996</v>
      </c>
      <c r="V47" s="17">
        <v>0</v>
      </c>
      <c r="W47" s="17">
        <v>0</v>
      </c>
      <c r="X47" s="4">
        <f t="shared" si="8"/>
        <v>0</v>
      </c>
      <c r="Y47" s="17"/>
      <c r="Z47" s="17"/>
      <c r="AA47" s="4">
        <f t="shared" si="9"/>
        <v>0</v>
      </c>
      <c r="AB47" s="17">
        <v>0</v>
      </c>
      <c r="AC47" s="17">
        <v>0</v>
      </c>
      <c r="AD47" s="4">
        <f t="shared" si="10"/>
        <v>0</v>
      </c>
      <c r="AE47" s="17">
        <f t="shared" si="11"/>
        <v>731.75</v>
      </c>
      <c r="AF47" s="17">
        <f t="shared" si="12"/>
        <v>736.19399999999996</v>
      </c>
      <c r="AG47" s="4">
        <f t="shared" si="13"/>
        <v>-4.44399999999996</v>
      </c>
      <c r="AH47" s="17"/>
      <c r="AI47" s="17"/>
      <c r="AJ47" s="4">
        <f t="shared" si="14"/>
        <v>0</v>
      </c>
      <c r="AK47" s="17"/>
      <c r="AL47" s="17"/>
      <c r="AM47" s="4">
        <f t="shared" si="150"/>
        <v>0</v>
      </c>
      <c r="AN47" s="17">
        <f t="shared" si="151"/>
        <v>1693.0100000000002</v>
      </c>
      <c r="AO47" s="17">
        <f t="shared" si="151"/>
        <v>1868.5660000000003</v>
      </c>
      <c r="AP47" s="4">
        <f t="shared" si="18"/>
        <v>-175.55600000000004</v>
      </c>
      <c r="AQ47" s="17">
        <v>0</v>
      </c>
      <c r="AR47" s="17">
        <v>0</v>
      </c>
      <c r="AS47" s="4">
        <f t="shared" si="152"/>
        <v>0</v>
      </c>
      <c r="AT47" s="17"/>
      <c r="AU47" s="17"/>
      <c r="AV47" s="4">
        <f t="shared" si="20"/>
        <v>0</v>
      </c>
      <c r="AW47" s="17">
        <f t="shared" si="153"/>
        <v>1693.0100000000002</v>
      </c>
      <c r="AX47" s="17">
        <f t="shared" si="153"/>
        <v>1868.5660000000003</v>
      </c>
      <c r="AY47" s="4">
        <f t="shared" si="23"/>
        <v>-175.55600000000004</v>
      </c>
      <c r="AZ47" s="17">
        <f t="shared" si="24"/>
        <v>1693.0100000000002</v>
      </c>
      <c r="BA47" s="17">
        <f t="shared" si="25"/>
        <v>1868.5660000000003</v>
      </c>
      <c r="BB47" s="4">
        <f t="shared" si="26"/>
        <v>-175.55600000000004</v>
      </c>
      <c r="BC47" s="17">
        <f t="shared" si="27"/>
        <v>1693.0100000000002</v>
      </c>
      <c r="BD47" s="17">
        <f t="shared" si="28"/>
        <v>1868.5660000000003</v>
      </c>
      <c r="BE47" s="4">
        <f t="shared" si="29"/>
        <v>-175.55600000000004</v>
      </c>
      <c r="BF47" s="7" t="s">
        <v>60</v>
      </c>
    </row>
    <row r="48" spans="1:58" ht="15" customHeight="1" x14ac:dyDescent="0.3">
      <c r="A48" s="32"/>
      <c r="B48" s="3" t="s">
        <v>9</v>
      </c>
      <c r="C48" s="1" t="s">
        <v>61</v>
      </c>
      <c r="D48" s="17">
        <f t="shared" si="0"/>
        <v>11.35559720312752</v>
      </c>
      <c r="E48" s="17">
        <f t="shared" si="1"/>
        <v>11.35559720312752</v>
      </c>
      <c r="F48" s="4">
        <f t="shared" si="2"/>
        <v>0</v>
      </c>
      <c r="G48" s="17">
        <v>3390</v>
      </c>
      <c r="H48" s="17">
        <v>3390</v>
      </c>
      <c r="I48" s="4">
        <f t="shared" si="3"/>
        <v>0</v>
      </c>
      <c r="J48" s="17">
        <v>3390</v>
      </c>
      <c r="K48" s="17">
        <v>3390</v>
      </c>
      <c r="L48" s="4">
        <f t="shared" si="4"/>
        <v>0</v>
      </c>
      <c r="M48" s="17">
        <v>3.5390000000000001</v>
      </c>
      <c r="N48" s="17">
        <v>0</v>
      </c>
      <c r="O48" s="4">
        <f t="shared" si="5"/>
        <v>3.5390000000000001</v>
      </c>
      <c r="P48" s="17">
        <v>0</v>
      </c>
      <c r="Q48" s="17">
        <v>0</v>
      </c>
      <c r="R48" s="4">
        <f t="shared" si="6"/>
        <v>0</v>
      </c>
      <c r="S48" s="17">
        <v>2063.6439999999998</v>
      </c>
      <c r="T48" s="17">
        <v>2062.1790000000001</v>
      </c>
      <c r="U48" s="4">
        <f t="shared" si="7"/>
        <v>1.4649999999996908</v>
      </c>
      <c r="V48" s="17">
        <v>0</v>
      </c>
      <c r="W48" s="17">
        <v>0</v>
      </c>
      <c r="X48" s="4">
        <f t="shared" si="8"/>
        <v>0</v>
      </c>
      <c r="Y48" s="17"/>
      <c r="Z48" s="17"/>
      <c r="AA48" s="4">
        <f t="shared" si="9"/>
        <v>0</v>
      </c>
      <c r="AB48" s="17">
        <v>224.626</v>
      </c>
      <c r="AC48" s="17">
        <v>224.626</v>
      </c>
      <c r="AD48" s="4">
        <f t="shared" si="10"/>
        <v>0</v>
      </c>
      <c r="AE48" s="17">
        <f t="shared" si="11"/>
        <v>2288.27</v>
      </c>
      <c r="AF48" s="17">
        <f t="shared" si="12"/>
        <v>2286.8050000000003</v>
      </c>
      <c r="AG48" s="4">
        <f t="shared" si="13"/>
        <v>1.4649999999996908</v>
      </c>
      <c r="AH48" s="17"/>
      <c r="AI48" s="17"/>
      <c r="AJ48" s="4">
        <f t="shared" si="14"/>
        <v>0</v>
      </c>
      <c r="AK48" s="17"/>
      <c r="AL48" s="17"/>
      <c r="AM48" s="4">
        <f t="shared" si="150"/>
        <v>0</v>
      </c>
      <c r="AN48" s="17">
        <f t="shared" si="151"/>
        <v>1105.2690000000002</v>
      </c>
      <c r="AO48" s="17">
        <f t="shared" si="151"/>
        <v>1103.1949999999997</v>
      </c>
      <c r="AP48" s="4">
        <f t="shared" si="18"/>
        <v>2.0740000000005239</v>
      </c>
      <c r="AQ48" s="17">
        <v>0</v>
      </c>
      <c r="AR48" s="17">
        <v>0</v>
      </c>
      <c r="AS48" s="4">
        <f t="shared" si="152"/>
        <v>0</v>
      </c>
      <c r="AT48" s="17"/>
      <c r="AU48" s="17"/>
      <c r="AV48" s="4">
        <f t="shared" si="20"/>
        <v>0</v>
      </c>
      <c r="AW48" s="17">
        <f t="shared" si="153"/>
        <v>1105.2690000000002</v>
      </c>
      <c r="AX48" s="17">
        <f t="shared" si="153"/>
        <v>1103.1949999999997</v>
      </c>
      <c r="AY48" s="4">
        <f t="shared" si="23"/>
        <v>2.0740000000005239</v>
      </c>
      <c r="AZ48" s="17">
        <f t="shared" si="24"/>
        <v>1105.2690000000002</v>
      </c>
      <c r="BA48" s="17">
        <f t="shared" si="25"/>
        <v>1103.1949999999997</v>
      </c>
      <c r="BB48" s="4">
        <f t="shared" si="26"/>
        <v>2.0740000000005239</v>
      </c>
      <c r="BC48" s="17">
        <f t="shared" si="27"/>
        <v>1329.8950000000002</v>
      </c>
      <c r="BD48" s="17">
        <f t="shared" si="28"/>
        <v>1327.8209999999997</v>
      </c>
      <c r="BE48" s="4">
        <f t="shared" si="29"/>
        <v>2.0740000000005239</v>
      </c>
      <c r="BF48" s="7" t="s">
        <v>62</v>
      </c>
    </row>
    <row r="49" spans="1:58" ht="15" customHeight="1" x14ac:dyDescent="0.3">
      <c r="A49" s="32"/>
      <c r="B49" s="3" t="s">
        <v>9</v>
      </c>
      <c r="C49" s="1" t="s">
        <v>63</v>
      </c>
      <c r="D49" s="17">
        <f t="shared" si="0"/>
        <v>6.0295206388287719</v>
      </c>
      <c r="E49" s="17">
        <f t="shared" si="1"/>
        <v>6.0295206388287719</v>
      </c>
      <c r="F49" s="4">
        <f t="shared" si="2"/>
        <v>0</v>
      </c>
      <c r="G49" s="17">
        <v>1800</v>
      </c>
      <c r="H49" s="17">
        <v>1800</v>
      </c>
      <c r="I49" s="4">
        <f t="shared" si="3"/>
        <v>0</v>
      </c>
      <c r="J49" s="17">
        <v>1800</v>
      </c>
      <c r="K49" s="17">
        <v>1800</v>
      </c>
      <c r="L49" s="4">
        <f t="shared" si="4"/>
        <v>0</v>
      </c>
      <c r="M49" s="17">
        <v>0</v>
      </c>
      <c r="N49" s="17">
        <v>0</v>
      </c>
      <c r="O49" s="4">
        <f t="shared" si="5"/>
        <v>0</v>
      </c>
      <c r="P49" s="17">
        <v>0</v>
      </c>
      <c r="Q49" s="17">
        <v>0</v>
      </c>
      <c r="R49" s="4">
        <f t="shared" si="6"/>
        <v>0</v>
      </c>
      <c r="S49" s="17">
        <v>395.91300000000001</v>
      </c>
      <c r="T49" s="17">
        <v>390.334</v>
      </c>
      <c r="U49" s="4">
        <f t="shared" si="7"/>
        <v>5.5790000000000077</v>
      </c>
      <c r="V49" s="17">
        <v>0</v>
      </c>
      <c r="W49" s="17">
        <v>0</v>
      </c>
      <c r="X49" s="4">
        <f t="shared" si="8"/>
        <v>0</v>
      </c>
      <c r="Y49" s="17"/>
      <c r="Z49" s="17"/>
      <c r="AA49" s="4">
        <f t="shared" si="9"/>
        <v>0</v>
      </c>
      <c r="AB49" s="17">
        <v>993.78899999999999</v>
      </c>
      <c r="AC49" s="17">
        <v>993.78899999999999</v>
      </c>
      <c r="AD49" s="4">
        <f t="shared" si="10"/>
        <v>0</v>
      </c>
      <c r="AE49" s="17">
        <f t="shared" si="11"/>
        <v>1389.702</v>
      </c>
      <c r="AF49" s="17">
        <f t="shared" si="12"/>
        <v>1384.123</v>
      </c>
      <c r="AG49" s="4">
        <f t="shared" si="13"/>
        <v>5.5789999999999509</v>
      </c>
      <c r="AH49" s="17"/>
      <c r="AI49" s="17"/>
      <c r="AJ49" s="4">
        <f t="shared" si="14"/>
        <v>0</v>
      </c>
      <c r="AK49" s="17"/>
      <c r="AL49" s="17"/>
      <c r="AM49" s="4">
        <f t="shared" si="150"/>
        <v>0</v>
      </c>
      <c r="AN49" s="17">
        <f t="shared" si="151"/>
        <v>410.298</v>
      </c>
      <c r="AO49" s="17">
        <f t="shared" si="151"/>
        <v>415.87699999999995</v>
      </c>
      <c r="AP49" s="4">
        <f t="shared" si="18"/>
        <v>-5.5789999999999509</v>
      </c>
      <c r="AQ49" s="17">
        <v>0</v>
      </c>
      <c r="AR49" s="17">
        <v>0</v>
      </c>
      <c r="AS49" s="4">
        <f t="shared" si="152"/>
        <v>0</v>
      </c>
      <c r="AT49" s="17"/>
      <c r="AU49" s="17"/>
      <c r="AV49" s="4">
        <f t="shared" si="20"/>
        <v>0</v>
      </c>
      <c r="AW49" s="17">
        <f t="shared" si="153"/>
        <v>410.298</v>
      </c>
      <c r="AX49" s="17">
        <f t="shared" si="153"/>
        <v>415.87699999999995</v>
      </c>
      <c r="AY49" s="4">
        <f t="shared" si="23"/>
        <v>-5.5789999999999509</v>
      </c>
      <c r="AZ49" s="17">
        <f t="shared" si="24"/>
        <v>410.298</v>
      </c>
      <c r="BA49" s="17">
        <f t="shared" si="25"/>
        <v>415.87699999999995</v>
      </c>
      <c r="BB49" s="4">
        <f t="shared" si="26"/>
        <v>-5.5789999999999509</v>
      </c>
      <c r="BC49" s="17">
        <f t="shared" si="27"/>
        <v>1404.087</v>
      </c>
      <c r="BD49" s="17">
        <f t="shared" si="28"/>
        <v>1409.6659999999999</v>
      </c>
      <c r="BE49" s="4">
        <f t="shared" si="29"/>
        <v>-5.5789999999999509</v>
      </c>
      <c r="BF49" s="7" t="s">
        <v>62</v>
      </c>
    </row>
    <row r="50" spans="1:58" ht="15" customHeight="1" x14ac:dyDescent="0.3">
      <c r="A50" s="32"/>
      <c r="B50" s="3" t="s">
        <v>9</v>
      </c>
      <c r="C50" s="1" t="s">
        <v>64</v>
      </c>
      <c r="D50" s="17">
        <f t="shared" si="0"/>
        <v>63.028247539043242</v>
      </c>
      <c r="E50" s="17">
        <f t="shared" si="1"/>
        <v>40.084912468020853</v>
      </c>
      <c r="F50" s="4">
        <f t="shared" si="2"/>
        <v>22.943335071022389</v>
      </c>
      <c r="G50" s="17">
        <v>18815.89804</v>
      </c>
      <c r="H50" s="17">
        <v>11966.596809999999</v>
      </c>
      <c r="I50" s="4">
        <f t="shared" si="3"/>
        <v>6849.3012300000009</v>
      </c>
      <c r="J50" s="17">
        <v>18815.89804</v>
      </c>
      <c r="K50" s="17">
        <v>11966.596809999999</v>
      </c>
      <c r="L50" s="4">
        <f t="shared" si="4"/>
        <v>6849.3012300000009</v>
      </c>
      <c r="M50" s="17">
        <v>0</v>
      </c>
      <c r="N50" s="17">
        <v>0</v>
      </c>
      <c r="O50" s="4">
        <f t="shared" si="5"/>
        <v>0</v>
      </c>
      <c r="P50" s="17">
        <v>2602.0466000000001</v>
      </c>
      <c r="Q50" s="17">
        <v>3389.49</v>
      </c>
      <c r="R50" s="4">
        <f t="shared" si="6"/>
        <v>-787.44339999999966</v>
      </c>
      <c r="S50" s="17">
        <v>13033.917810000001</v>
      </c>
      <c r="T50" s="17">
        <v>5172.51</v>
      </c>
      <c r="U50" s="4">
        <f t="shared" si="7"/>
        <v>7861.4078100000006</v>
      </c>
      <c r="V50" s="17">
        <v>0</v>
      </c>
      <c r="W50" s="17">
        <v>0</v>
      </c>
      <c r="X50" s="4">
        <f t="shared" si="8"/>
        <v>0</v>
      </c>
      <c r="Y50" s="17"/>
      <c r="Z50" s="17"/>
      <c r="AA50" s="4">
        <f t="shared" si="9"/>
        <v>0</v>
      </c>
      <c r="AB50" s="17">
        <v>520.56412</v>
      </c>
      <c r="AC50" s="17">
        <v>362.22</v>
      </c>
      <c r="AD50" s="4">
        <f t="shared" si="10"/>
        <v>158.34411999999998</v>
      </c>
      <c r="AE50" s="17">
        <f t="shared" si="11"/>
        <v>16156.52853</v>
      </c>
      <c r="AF50" s="17">
        <f t="shared" si="12"/>
        <v>8924.2199999999993</v>
      </c>
      <c r="AG50" s="4">
        <f t="shared" si="13"/>
        <v>7232.3085300000002</v>
      </c>
      <c r="AH50" s="17"/>
      <c r="AI50" s="17"/>
      <c r="AJ50" s="4">
        <f t="shared" si="14"/>
        <v>0</v>
      </c>
      <c r="AK50" s="17"/>
      <c r="AL50" s="17"/>
      <c r="AM50" s="4">
        <f t="shared" si="150"/>
        <v>0</v>
      </c>
      <c r="AN50" s="17">
        <f t="shared" si="151"/>
        <v>2659.3695100000004</v>
      </c>
      <c r="AO50" s="17">
        <f t="shared" si="151"/>
        <v>3042.3768099999998</v>
      </c>
      <c r="AP50" s="4">
        <f t="shared" si="18"/>
        <v>-383.0072999999993</v>
      </c>
      <c r="AQ50" s="17">
        <v>0</v>
      </c>
      <c r="AR50" s="17">
        <v>0</v>
      </c>
      <c r="AS50" s="4">
        <f t="shared" si="152"/>
        <v>0</v>
      </c>
      <c r="AT50" s="17"/>
      <c r="AU50" s="17"/>
      <c r="AV50" s="4">
        <f t="shared" si="20"/>
        <v>0</v>
      </c>
      <c r="AW50" s="17">
        <f t="shared" si="153"/>
        <v>2659.3695100000004</v>
      </c>
      <c r="AX50" s="17">
        <f t="shared" si="153"/>
        <v>3042.3768099999998</v>
      </c>
      <c r="AY50" s="4">
        <f t="shared" si="23"/>
        <v>-383.0072999999993</v>
      </c>
      <c r="AZ50" s="17">
        <f t="shared" si="24"/>
        <v>2659.3695100000004</v>
      </c>
      <c r="BA50" s="17">
        <f t="shared" si="25"/>
        <v>3042.3768099999998</v>
      </c>
      <c r="BB50" s="4">
        <f t="shared" si="26"/>
        <v>-383.0072999999993</v>
      </c>
      <c r="BC50" s="17">
        <f t="shared" si="27"/>
        <v>3179.9336300000004</v>
      </c>
      <c r="BD50" s="17">
        <f t="shared" si="28"/>
        <v>3404.59681</v>
      </c>
      <c r="BE50" s="4">
        <f t="shared" si="29"/>
        <v>-224.66317999999956</v>
      </c>
      <c r="BF50" s="7" t="s">
        <v>65</v>
      </c>
    </row>
    <row r="51" spans="1:58" ht="15" customHeight="1" x14ac:dyDescent="0.3">
      <c r="A51" s="38"/>
      <c r="B51" s="3" t="s">
        <v>9</v>
      </c>
      <c r="C51" s="1" t="s">
        <v>66</v>
      </c>
      <c r="D51" s="17">
        <f t="shared" si="0"/>
        <v>1.1829283043981285</v>
      </c>
      <c r="E51" s="17">
        <f t="shared" si="1"/>
        <v>1.0109161297734084</v>
      </c>
      <c r="F51" s="4">
        <f t="shared" si="2"/>
        <v>0.17201217462472007</v>
      </c>
      <c r="G51" s="17">
        <v>353.14100000000002</v>
      </c>
      <c r="H51" s="17">
        <v>301.79000000000002</v>
      </c>
      <c r="I51" s="4">
        <f t="shared" si="3"/>
        <v>51.350999999999999</v>
      </c>
      <c r="J51" s="17">
        <v>353.14100000000002</v>
      </c>
      <c r="K51" s="17">
        <v>301.79000000000002</v>
      </c>
      <c r="L51" s="4">
        <f t="shared" si="4"/>
        <v>51.350999999999999</v>
      </c>
      <c r="M51" s="17">
        <v>0</v>
      </c>
      <c r="N51" s="17">
        <v>0</v>
      </c>
      <c r="O51" s="4">
        <f t="shared" si="5"/>
        <v>0</v>
      </c>
      <c r="P51" s="17">
        <v>0</v>
      </c>
      <c r="Q51" s="17">
        <v>0</v>
      </c>
      <c r="R51" s="4">
        <f t="shared" si="6"/>
        <v>0</v>
      </c>
      <c r="S51" s="17">
        <v>93.213999999999999</v>
      </c>
      <c r="T51" s="17">
        <v>140.565</v>
      </c>
      <c r="U51" s="4">
        <f t="shared" si="7"/>
        <v>-47.350999999999999</v>
      </c>
      <c r="V51" s="17">
        <v>0</v>
      </c>
      <c r="W51" s="17">
        <v>0</v>
      </c>
      <c r="X51" s="4">
        <f t="shared" si="8"/>
        <v>0</v>
      </c>
      <c r="Y51" s="17"/>
      <c r="Z51" s="17"/>
      <c r="AA51" s="4">
        <f t="shared" si="9"/>
        <v>0</v>
      </c>
      <c r="AB51" s="17">
        <v>0</v>
      </c>
      <c r="AC51" s="17">
        <v>0</v>
      </c>
      <c r="AD51" s="4">
        <f t="shared" si="10"/>
        <v>0</v>
      </c>
      <c r="AE51" s="17">
        <f t="shared" si="11"/>
        <v>93.213999999999999</v>
      </c>
      <c r="AF51" s="17">
        <f t="shared" si="12"/>
        <v>140.565</v>
      </c>
      <c r="AG51" s="4">
        <f t="shared" si="13"/>
        <v>-47.350999999999999</v>
      </c>
      <c r="AH51" s="17"/>
      <c r="AI51" s="17"/>
      <c r="AJ51" s="4">
        <f t="shared" si="14"/>
        <v>0</v>
      </c>
      <c r="AK51" s="17"/>
      <c r="AL51" s="17"/>
      <c r="AM51" s="4">
        <f t="shared" si="150"/>
        <v>0</v>
      </c>
      <c r="AN51" s="17">
        <f t="shared" si="151"/>
        <v>259.92700000000002</v>
      </c>
      <c r="AO51" s="17">
        <f t="shared" si="151"/>
        <v>161.22500000000002</v>
      </c>
      <c r="AP51" s="4">
        <f t="shared" si="18"/>
        <v>98.701999999999998</v>
      </c>
      <c r="AQ51" s="17">
        <v>0</v>
      </c>
      <c r="AR51" s="17">
        <v>0</v>
      </c>
      <c r="AS51" s="4">
        <f t="shared" si="152"/>
        <v>0</v>
      </c>
      <c r="AT51" s="17"/>
      <c r="AU51" s="17"/>
      <c r="AV51" s="4">
        <f t="shared" si="20"/>
        <v>0</v>
      </c>
      <c r="AW51" s="17">
        <f t="shared" si="153"/>
        <v>259.92700000000002</v>
      </c>
      <c r="AX51" s="17">
        <f t="shared" si="153"/>
        <v>161.22500000000002</v>
      </c>
      <c r="AY51" s="4">
        <f t="shared" si="23"/>
        <v>98.701999999999998</v>
      </c>
      <c r="AZ51" s="17">
        <f t="shared" si="24"/>
        <v>259.92700000000002</v>
      </c>
      <c r="BA51" s="17">
        <f t="shared" si="25"/>
        <v>161.22500000000002</v>
      </c>
      <c r="BB51" s="4">
        <f t="shared" si="26"/>
        <v>98.701999999999998</v>
      </c>
      <c r="BC51" s="17">
        <f t="shared" si="27"/>
        <v>259.92700000000002</v>
      </c>
      <c r="BD51" s="17">
        <f t="shared" si="28"/>
        <v>161.22500000000002</v>
      </c>
      <c r="BE51" s="4">
        <f t="shared" si="29"/>
        <v>98.701999999999998</v>
      </c>
      <c r="BF51" s="7" t="s">
        <v>67</v>
      </c>
    </row>
    <row r="52" spans="1:58" s="21" customFormat="1" ht="15" customHeight="1" thickBot="1" x14ac:dyDescent="0.35">
      <c r="A52" s="34" t="s">
        <v>11</v>
      </c>
      <c r="B52" s="35"/>
      <c r="C52" s="36"/>
      <c r="D52" s="18">
        <f>SUM(D44:D51)</f>
        <v>140.5245716012364</v>
      </c>
      <c r="E52" s="18">
        <f>SUM(E44:E51)</f>
        <v>119.4267381049679</v>
      </c>
      <c r="F52" s="19">
        <f t="shared" si="2"/>
        <v>21.097833496268507</v>
      </c>
      <c r="G52" s="18">
        <f t="shared" ref="G52:H52" si="154">SUM(G44:G51)</f>
        <v>41950.968250000005</v>
      </c>
      <c r="H52" s="18">
        <f t="shared" si="154"/>
        <v>35652.606810000005</v>
      </c>
      <c r="I52" s="19">
        <f t="shared" si="3"/>
        <v>6298.3614400000006</v>
      </c>
      <c r="J52" s="18">
        <f t="shared" ref="J52:K52" si="155">SUM(J44:J51)</f>
        <v>42663.315114406782</v>
      </c>
      <c r="K52" s="18">
        <f t="shared" si="155"/>
        <v>36405.216810000005</v>
      </c>
      <c r="L52" s="19">
        <f t="shared" si="4"/>
        <v>6258.0983044067762</v>
      </c>
      <c r="M52" s="18">
        <f t="shared" ref="M52:N52" si="156">SUM(M44:M51)</f>
        <v>1064.7568644067796</v>
      </c>
      <c r="N52" s="18">
        <f t="shared" si="156"/>
        <v>1155.7750000000001</v>
      </c>
      <c r="O52" s="19">
        <f t="shared" si="5"/>
        <v>-91.01813559322045</v>
      </c>
      <c r="P52" s="18">
        <f t="shared" ref="P52:Q52" si="157">SUM(P44:P51)</f>
        <v>5366.5896000000002</v>
      </c>
      <c r="Q52" s="18">
        <f t="shared" si="157"/>
        <v>6216.3619999999992</v>
      </c>
      <c r="R52" s="19">
        <f t="shared" si="6"/>
        <v>-849.77239999999892</v>
      </c>
      <c r="S52" s="18">
        <f t="shared" ref="S52:T52" si="158">SUM(S44:S51)</f>
        <v>23860.738810000003</v>
      </c>
      <c r="T52" s="18">
        <f t="shared" si="158"/>
        <v>16549.945</v>
      </c>
      <c r="U52" s="19">
        <f t="shared" si="7"/>
        <v>7310.7938100000028</v>
      </c>
      <c r="V52" s="18">
        <f t="shared" ref="V52:W52" si="159">SUM(V44:V51)</f>
        <v>57.51</v>
      </c>
      <c r="W52" s="18">
        <f t="shared" si="159"/>
        <v>0</v>
      </c>
      <c r="X52" s="19">
        <f t="shared" si="8"/>
        <v>57.51</v>
      </c>
      <c r="Y52" s="18">
        <f t="shared" ref="Y52:Z52" si="160">SUM(Y44:Y51)</f>
        <v>0</v>
      </c>
      <c r="Z52" s="18">
        <f t="shared" si="160"/>
        <v>0</v>
      </c>
      <c r="AA52" s="19">
        <f t="shared" si="9"/>
        <v>0</v>
      </c>
      <c r="AB52" s="18">
        <f t="shared" ref="AB52:AC52" si="161">SUM(AB44:AB51)</f>
        <v>1944.3951200000001</v>
      </c>
      <c r="AC52" s="18">
        <f t="shared" si="161"/>
        <v>1776.24</v>
      </c>
      <c r="AD52" s="19">
        <f t="shared" si="10"/>
        <v>168.15512000000012</v>
      </c>
      <c r="AE52" s="18">
        <f t="shared" ref="AE52:AF52" si="162">SUM(AE44:AE51)</f>
        <v>31229.233529999998</v>
      </c>
      <c r="AF52" s="18">
        <f t="shared" si="162"/>
        <v>24542.546999999995</v>
      </c>
      <c r="AG52" s="19">
        <f t="shared" si="13"/>
        <v>6686.6865300000027</v>
      </c>
      <c r="AH52" s="18">
        <f t="shared" ref="AH52:AI52" si="163">SUM(AH44:AH51)</f>
        <v>0</v>
      </c>
      <c r="AI52" s="18">
        <f t="shared" si="163"/>
        <v>0</v>
      </c>
      <c r="AJ52" s="19">
        <f t="shared" si="14"/>
        <v>0</v>
      </c>
      <c r="AK52" s="18">
        <f>SUM(AK44:AK51)</f>
        <v>0</v>
      </c>
      <c r="AL52" s="18">
        <f>SUM(AL44:AL51)</f>
        <v>0</v>
      </c>
      <c r="AM52" s="19">
        <f t="shared" si="15"/>
        <v>0</v>
      </c>
      <c r="AN52" s="18">
        <f t="shared" ref="AN52:AO52" si="164">SUM(AN44:AN51)</f>
        <v>12498.838448813563</v>
      </c>
      <c r="AO52" s="18">
        <f t="shared" si="164"/>
        <v>13018.444809999999</v>
      </c>
      <c r="AP52" s="19">
        <f t="shared" si="18"/>
        <v>-519.60636118643561</v>
      </c>
      <c r="AQ52" s="18">
        <f>SUM(AQ44:AQ51)</f>
        <v>4027.152</v>
      </c>
      <c r="AR52" s="18">
        <f>SUM(AR44:AR51)</f>
        <v>4025.3780000000002</v>
      </c>
      <c r="AS52" s="19">
        <f t="shared" si="19"/>
        <v>1.7739999999998872</v>
      </c>
      <c r="AT52" s="18">
        <f t="shared" ref="AT52:AU52" si="165">SUM(AT44:AT51)</f>
        <v>0</v>
      </c>
      <c r="AU52" s="18">
        <f t="shared" si="165"/>
        <v>0</v>
      </c>
      <c r="AV52" s="19">
        <f t="shared" si="20"/>
        <v>0</v>
      </c>
      <c r="AW52" s="18">
        <f t="shared" ref="AW52:AX52" si="166">SUM(AW44:AW51)</f>
        <v>8471.6864488135616</v>
      </c>
      <c r="AX52" s="18">
        <f t="shared" si="166"/>
        <v>8993.0668100000003</v>
      </c>
      <c r="AY52" s="19">
        <f t="shared" si="23"/>
        <v>-521.38036118643868</v>
      </c>
      <c r="AZ52" s="18">
        <f t="shared" ref="AZ52:BA52" si="167">SUM(AZ44:AZ51)</f>
        <v>12498.838448813563</v>
      </c>
      <c r="BA52" s="18">
        <f t="shared" si="167"/>
        <v>13018.444809999999</v>
      </c>
      <c r="BB52" s="19">
        <f t="shared" si="26"/>
        <v>-519.60636118643561</v>
      </c>
      <c r="BC52" s="18">
        <f>SUM(BC44:BC51)</f>
        <v>14443.233568813561</v>
      </c>
      <c r="BD52" s="18">
        <f t="shared" ref="BD52" si="168">SUM(BD44:BD51)</f>
        <v>14794.684809999997</v>
      </c>
      <c r="BE52" s="19">
        <f t="shared" si="29"/>
        <v>-351.45124118643616</v>
      </c>
      <c r="BF52" s="7"/>
    </row>
    <row r="53" spans="1:58" ht="15" customHeight="1" x14ac:dyDescent="0.3">
      <c r="A53" s="33" t="s">
        <v>68</v>
      </c>
      <c r="B53" s="3" t="s">
        <v>9</v>
      </c>
      <c r="C53" s="3" t="s">
        <v>69</v>
      </c>
      <c r="D53" s="17">
        <f t="shared" si="0"/>
        <v>0</v>
      </c>
      <c r="E53" s="17">
        <f t="shared" si="1"/>
        <v>0</v>
      </c>
      <c r="F53" s="4">
        <f t="shared" si="2"/>
        <v>0</v>
      </c>
      <c r="G53" s="17"/>
      <c r="H53" s="17"/>
      <c r="I53" s="4">
        <f t="shared" si="3"/>
        <v>0</v>
      </c>
      <c r="J53" s="17"/>
      <c r="K53" s="17"/>
      <c r="L53" s="4">
        <f t="shared" si="4"/>
        <v>0</v>
      </c>
      <c r="M53" s="17"/>
      <c r="N53" s="17"/>
      <c r="O53" s="4">
        <f t="shared" si="5"/>
        <v>0</v>
      </c>
      <c r="P53" s="17"/>
      <c r="Q53" s="17"/>
      <c r="R53" s="4">
        <f t="shared" si="6"/>
        <v>0</v>
      </c>
      <c r="S53" s="17"/>
      <c r="T53" s="17"/>
      <c r="U53" s="4">
        <f t="shared" si="7"/>
        <v>0</v>
      </c>
      <c r="V53" s="17"/>
      <c r="W53" s="17"/>
      <c r="X53" s="4">
        <f t="shared" si="8"/>
        <v>0</v>
      </c>
      <c r="Y53" s="17"/>
      <c r="Z53" s="17"/>
      <c r="AA53" s="4">
        <f t="shared" si="9"/>
        <v>0</v>
      </c>
      <c r="AB53" s="17"/>
      <c r="AC53" s="17"/>
      <c r="AD53" s="4">
        <f t="shared" si="10"/>
        <v>0</v>
      </c>
      <c r="AE53" s="17">
        <f t="shared" si="11"/>
        <v>0</v>
      </c>
      <c r="AF53" s="17">
        <f t="shared" si="12"/>
        <v>0</v>
      </c>
      <c r="AG53" s="4">
        <f t="shared" si="13"/>
        <v>0</v>
      </c>
      <c r="AH53" s="17"/>
      <c r="AI53" s="17"/>
      <c r="AJ53" s="4">
        <f t="shared" si="14"/>
        <v>0</v>
      </c>
      <c r="AK53" s="17"/>
      <c r="AL53" s="17"/>
      <c r="AM53" s="4">
        <f t="shared" si="15"/>
        <v>0</v>
      </c>
      <c r="AN53" s="17">
        <f t="shared" si="16"/>
        <v>0</v>
      </c>
      <c r="AO53" s="17">
        <f t="shared" si="17"/>
        <v>0</v>
      </c>
      <c r="AP53" s="4">
        <f t="shared" si="18"/>
        <v>0</v>
      </c>
      <c r="AQ53" s="17"/>
      <c r="AR53" s="17"/>
      <c r="AS53" s="4">
        <f t="shared" si="19"/>
        <v>0</v>
      </c>
      <c r="AT53" s="17"/>
      <c r="AU53" s="17"/>
      <c r="AV53" s="4">
        <f t="shared" si="20"/>
        <v>0</v>
      </c>
      <c r="AW53" s="17">
        <f t="shared" si="21"/>
        <v>0</v>
      </c>
      <c r="AX53" s="17">
        <f t="shared" si="22"/>
        <v>0</v>
      </c>
      <c r="AY53" s="4">
        <f t="shared" si="23"/>
        <v>0</v>
      </c>
      <c r="AZ53" s="17">
        <f t="shared" si="24"/>
        <v>0</v>
      </c>
      <c r="BA53" s="17">
        <f t="shared" si="25"/>
        <v>0</v>
      </c>
      <c r="BB53" s="4">
        <f t="shared" si="26"/>
        <v>0</v>
      </c>
      <c r="BC53" s="17">
        <f t="shared" si="27"/>
        <v>0</v>
      </c>
      <c r="BD53" s="17">
        <f t="shared" si="28"/>
        <v>0</v>
      </c>
      <c r="BE53" s="4">
        <f t="shared" si="29"/>
        <v>0</v>
      </c>
      <c r="BF53" s="7"/>
    </row>
    <row r="54" spans="1:58" ht="15" customHeight="1" x14ac:dyDescent="0.3">
      <c r="A54" s="32"/>
      <c r="B54" s="3" t="s">
        <v>9</v>
      </c>
      <c r="C54" s="3" t="s">
        <v>70</v>
      </c>
      <c r="D54" s="17">
        <f t="shared" si="0"/>
        <v>259.19813086270619</v>
      </c>
      <c r="E54" s="17">
        <f t="shared" si="1"/>
        <v>255.93772591301743</v>
      </c>
      <c r="F54" s="4">
        <f t="shared" si="2"/>
        <v>3.2604049496887626</v>
      </c>
      <c r="G54" s="17">
        <v>77378.727679999996</v>
      </c>
      <c r="H54" s="17">
        <v>76405.395095043496</v>
      </c>
      <c r="I54" s="4">
        <f t="shared" si="3"/>
        <v>973.3325849565008</v>
      </c>
      <c r="J54" s="17">
        <v>77378.727679999996</v>
      </c>
      <c r="K54" s="17">
        <v>76405.395095043496</v>
      </c>
      <c r="L54" s="4">
        <f t="shared" si="4"/>
        <v>973.3325849565008</v>
      </c>
      <c r="M54" s="17">
        <v>1901.5830899999999</v>
      </c>
      <c r="N54" s="17">
        <v>750</v>
      </c>
      <c r="O54" s="4">
        <f t="shared" si="5"/>
        <v>1151.5830899999999</v>
      </c>
      <c r="P54" s="17">
        <v>55330.233</v>
      </c>
      <c r="Q54" s="17">
        <v>58337.866940654269</v>
      </c>
      <c r="R54" s="4">
        <f t="shared" si="6"/>
        <v>-3007.6339406542684</v>
      </c>
      <c r="S54" s="17">
        <v>18225.351229999997</v>
      </c>
      <c r="T54" s="17">
        <v>10365.782527284728</v>
      </c>
      <c r="U54" s="4">
        <f t="shared" si="7"/>
        <v>7859.568702715269</v>
      </c>
      <c r="V54" s="17">
        <v>1508.328</v>
      </c>
      <c r="W54" s="17">
        <v>1508.3279008333334</v>
      </c>
      <c r="X54" s="4">
        <f t="shared" si="8"/>
        <v>9.9166666586825158E-5</v>
      </c>
      <c r="Y54" s="17">
        <v>368.11900000000003</v>
      </c>
      <c r="Z54" s="17">
        <v>368.11269957397337</v>
      </c>
      <c r="AA54" s="4">
        <f t="shared" si="9"/>
        <v>6.3004260266552592E-3</v>
      </c>
      <c r="AB54" s="17">
        <v>1250.8119999999999</v>
      </c>
      <c r="AC54" s="17">
        <v>1353.600625763889</v>
      </c>
      <c r="AD54" s="4">
        <f t="shared" si="10"/>
        <v>-102.78862576388906</v>
      </c>
      <c r="AE54" s="17">
        <f t="shared" si="11"/>
        <v>76682.843229999999</v>
      </c>
      <c r="AF54" s="17">
        <f t="shared" si="12"/>
        <v>71933.690694110206</v>
      </c>
      <c r="AG54" s="4">
        <f t="shared" si="13"/>
        <v>4749.1525358897925</v>
      </c>
      <c r="AH54" s="17"/>
      <c r="AI54" s="17"/>
      <c r="AJ54" s="4">
        <f t="shared" si="14"/>
        <v>0</v>
      </c>
      <c r="AK54" s="17"/>
      <c r="AL54" s="17"/>
      <c r="AM54" s="4">
        <f t="shared" si="15"/>
        <v>0</v>
      </c>
      <c r="AN54" s="17">
        <f t="shared" si="16"/>
        <v>2597.4675399999978</v>
      </c>
      <c r="AO54" s="17">
        <f t="shared" si="17"/>
        <v>5221.7044009332894</v>
      </c>
      <c r="AP54" s="4">
        <f t="shared" si="18"/>
        <v>-2624.2368609332916</v>
      </c>
      <c r="AQ54" s="17"/>
      <c r="AR54" s="17"/>
      <c r="AS54" s="4">
        <f t="shared" si="19"/>
        <v>0</v>
      </c>
      <c r="AT54" s="17"/>
      <c r="AU54" s="17"/>
      <c r="AV54" s="4">
        <f t="shared" si="20"/>
        <v>0</v>
      </c>
      <c r="AW54" s="17">
        <f t="shared" si="21"/>
        <v>2597.4675399999978</v>
      </c>
      <c r="AX54" s="17">
        <f t="shared" si="22"/>
        <v>5221.7044009332894</v>
      </c>
      <c r="AY54" s="4">
        <f t="shared" si="23"/>
        <v>-2624.2368609332916</v>
      </c>
      <c r="AZ54" s="17">
        <f t="shared" si="24"/>
        <v>2965.586539999998</v>
      </c>
      <c r="BA54" s="17">
        <f t="shared" si="25"/>
        <v>5589.8171005072627</v>
      </c>
      <c r="BB54" s="4">
        <f t="shared" si="26"/>
        <v>-2624.2305605072647</v>
      </c>
      <c r="BC54" s="17">
        <f t="shared" si="27"/>
        <v>4216.3985399999983</v>
      </c>
      <c r="BD54" s="17">
        <f t="shared" si="28"/>
        <v>6943.4177262711519</v>
      </c>
      <c r="BE54" s="4">
        <f t="shared" si="29"/>
        <v>-2727.0191862711536</v>
      </c>
      <c r="BF54" s="7"/>
    </row>
    <row r="55" spans="1:58" s="20" customFormat="1" ht="15" customHeight="1" x14ac:dyDescent="0.3">
      <c r="A55" s="34" t="s">
        <v>11</v>
      </c>
      <c r="B55" s="35"/>
      <c r="C55" s="36"/>
      <c r="D55" s="18">
        <f>SUM(D53:D54)</f>
        <v>259.19813086270619</v>
      </c>
      <c r="E55" s="18">
        <f>SUM(E53:E54)</f>
        <v>255.93772591301743</v>
      </c>
      <c r="F55" s="19">
        <f t="shared" ref="F55" si="169">D55-E55</f>
        <v>3.2604049496887626</v>
      </c>
      <c r="G55" s="18">
        <f t="shared" ref="G55:H55" si="170">SUM(G53:G54)</f>
        <v>77378.727679999996</v>
      </c>
      <c r="H55" s="18">
        <f t="shared" si="170"/>
        <v>76405.395095043496</v>
      </c>
      <c r="I55" s="19">
        <f t="shared" si="3"/>
        <v>973.3325849565008</v>
      </c>
      <c r="J55" s="18">
        <f t="shared" ref="J55:K55" si="171">SUM(J53:J54)</f>
        <v>77378.727679999996</v>
      </c>
      <c r="K55" s="18">
        <f t="shared" si="171"/>
        <v>76405.395095043496</v>
      </c>
      <c r="L55" s="19">
        <f t="shared" si="4"/>
        <v>973.3325849565008</v>
      </c>
      <c r="M55" s="18">
        <f t="shared" ref="M55:N55" si="172">SUM(M53:M54)</f>
        <v>1901.5830899999999</v>
      </c>
      <c r="N55" s="18">
        <f t="shared" si="172"/>
        <v>750</v>
      </c>
      <c r="O55" s="19">
        <f t="shared" si="5"/>
        <v>1151.5830899999999</v>
      </c>
      <c r="P55" s="18">
        <f t="shared" ref="P55:Q55" si="173">SUM(P53:P54)</f>
        <v>55330.233</v>
      </c>
      <c r="Q55" s="18">
        <f t="shared" si="173"/>
        <v>58337.866940654269</v>
      </c>
      <c r="R55" s="19">
        <f t="shared" si="6"/>
        <v>-3007.6339406542684</v>
      </c>
      <c r="S55" s="18">
        <f t="shared" ref="S55:T55" si="174">SUM(S53:S54)</f>
        <v>18225.351229999997</v>
      </c>
      <c r="T55" s="18">
        <f t="shared" si="174"/>
        <v>10365.782527284728</v>
      </c>
      <c r="U55" s="19">
        <f t="shared" si="7"/>
        <v>7859.568702715269</v>
      </c>
      <c r="V55" s="18">
        <f t="shared" ref="V55:W55" si="175">SUM(V53:V54)</f>
        <v>1508.328</v>
      </c>
      <c r="W55" s="18">
        <f t="shared" si="175"/>
        <v>1508.3279008333334</v>
      </c>
      <c r="X55" s="19">
        <f t="shared" si="8"/>
        <v>9.9166666586825158E-5</v>
      </c>
      <c r="Y55" s="18">
        <f t="shared" ref="Y55:Z55" si="176">SUM(Y53:Y54)</f>
        <v>368.11900000000003</v>
      </c>
      <c r="Z55" s="18">
        <f t="shared" si="176"/>
        <v>368.11269957397337</v>
      </c>
      <c r="AA55" s="19">
        <f t="shared" si="9"/>
        <v>6.3004260266552592E-3</v>
      </c>
      <c r="AB55" s="18">
        <f t="shared" ref="AB55:AC55" si="177">SUM(AB53:AB54)</f>
        <v>1250.8119999999999</v>
      </c>
      <c r="AC55" s="18">
        <f t="shared" si="177"/>
        <v>1353.600625763889</v>
      </c>
      <c r="AD55" s="19">
        <f t="shared" si="10"/>
        <v>-102.78862576388906</v>
      </c>
      <c r="AE55" s="18">
        <f t="shared" ref="AE55:AF55" si="178">SUM(AE53:AE54)</f>
        <v>76682.843229999999</v>
      </c>
      <c r="AF55" s="18">
        <f t="shared" si="178"/>
        <v>71933.690694110206</v>
      </c>
      <c r="AG55" s="19">
        <f t="shared" si="13"/>
        <v>4749.1525358897925</v>
      </c>
      <c r="AH55" s="18">
        <f t="shared" ref="AH55:AI55" si="179">SUM(AH53:AH54)</f>
        <v>0</v>
      </c>
      <c r="AI55" s="18">
        <f t="shared" si="179"/>
        <v>0</v>
      </c>
      <c r="AJ55" s="19">
        <f t="shared" si="14"/>
        <v>0</v>
      </c>
      <c r="AK55" s="18">
        <f t="shared" ref="AK55:AL55" si="180">SUM(AK53:AK54)</f>
        <v>0</v>
      </c>
      <c r="AL55" s="18">
        <f t="shared" si="180"/>
        <v>0</v>
      </c>
      <c r="AM55" s="19">
        <f t="shared" si="15"/>
        <v>0</v>
      </c>
      <c r="AN55" s="18">
        <f t="shared" ref="AN55:AO55" si="181">SUM(AN53:AN54)</f>
        <v>2597.4675399999978</v>
      </c>
      <c r="AO55" s="18">
        <f t="shared" si="181"/>
        <v>5221.7044009332894</v>
      </c>
      <c r="AP55" s="19">
        <f t="shared" si="18"/>
        <v>-2624.2368609332916</v>
      </c>
      <c r="AQ55" s="18">
        <f t="shared" ref="AQ55:AR55" si="182">SUM(AQ53:AQ54)</f>
        <v>0</v>
      </c>
      <c r="AR55" s="18">
        <f t="shared" si="182"/>
        <v>0</v>
      </c>
      <c r="AS55" s="19">
        <f t="shared" si="19"/>
        <v>0</v>
      </c>
      <c r="AT55" s="18">
        <f t="shared" ref="AT55:AU55" si="183">SUM(AT53:AT54)</f>
        <v>0</v>
      </c>
      <c r="AU55" s="18">
        <f t="shared" si="183"/>
        <v>0</v>
      </c>
      <c r="AV55" s="19">
        <f t="shared" si="20"/>
        <v>0</v>
      </c>
      <c r="AW55" s="18">
        <f t="shared" ref="AW55:AX55" si="184">SUM(AW53:AW54)</f>
        <v>2597.4675399999978</v>
      </c>
      <c r="AX55" s="18">
        <f t="shared" si="184"/>
        <v>5221.7044009332894</v>
      </c>
      <c r="AY55" s="19">
        <f t="shared" si="23"/>
        <v>-2624.2368609332916</v>
      </c>
      <c r="AZ55" s="18">
        <f t="shared" ref="AZ55:BA55" si="185">SUM(AZ53:AZ54)</f>
        <v>2965.586539999998</v>
      </c>
      <c r="BA55" s="18">
        <f t="shared" si="185"/>
        <v>5589.8171005072627</v>
      </c>
      <c r="BB55" s="19">
        <f t="shared" si="26"/>
        <v>-2624.2305605072647</v>
      </c>
      <c r="BC55" s="18">
        <f t="shared" ref="BC55:BD55" si="186">SUM(BC53:BC54)</f>
        <v>4216.3985399999983</v>
      </c>
      <c r="BD55" s="18">
        <f t="shared" si="186"/>
        <v>6943.4177262711519</v>
      </c>
      <c r="BE55" s="19">
        <f t="shared" si="29"/>
        <v>-2727.0191862711536</v>
      </c>
      <c r="BF55" s="7"/>
    </row>
    <row r="56" spans="1:58" ht="15" customHeight="1" x14ac:dyDescent="0.3">
      <c r="A56" s="37" t="s">
        <v>71</v>
      </c>
      <c r="B56" s="3" t="s">
        <v>9</v>
      </c>
      <c r="C56" s="12" t="s">
        <v>72</v>
      </c>
      <c r="D56" s="17">
        <f t="shared" si="0"/>
        <v>275.46111243915328</v>
      </c>
      <c r="E56" s="17">
        <f t="shared" si="1"/>
        <v>291.58454973770097</v>
      </c>
      <c r="F56" s="4">
        <f t="shared" si="2"/>
        <v>-16.123437298547685</v>
      </c>
      <c r="G56" s="17">
        <v>82233.735000000001</v>
      </c>
      <c r="H56" s="17">
        <v>87047.084000000003</v>
      </c>
      <c r="I56" s="4">
        <f t="shared" si="3"/>
        <v>-4813.349000000002</v>
      </c>
      <c r="J56" s="17">
        <v>29169.116999999998</v>
      </c>
      <c r="K56" s="17">
        <v>29550.502</v>
      </c>
      <c r="L56" s="4">
        <f t="shared" si="4"/>
        <v>-381.38500000000204</v>
      </c>
      <c r="M56" s="17">
        <v>1069.8340000000001</v>
      </c>
      <c r="N56" s="17">
        <v>466.66699999999997</v>
      </c>
      <c r="O56" s="4">
        <f t="shared" si="5"/>
        <v>603.16700000000014</v>
      </c>
      <c r="P56" s="17">
        <v>7460.6980000000003</v>
      </c>
      <c r="Q56" s="17">
        <v>9713.9380000000001</v>
      </c>
      <c r="R56" s="4">
        <f t="shared" si="6"/>
        <v>-2253.2399999999998</v>
      </c>
      <c r="S56" s="17">
        <v>2550.6680000000001</v>
      </c>
      <c r="T56" s="17">
        <v>2858.2750000000001</v>
      </c>
      <c r="U56" s="4">
        <f t="shared" si="7"/>
        <v>-307.60699999999997</v>
      </c>
      <c r="V56" s="17">
        <v>8043.9009999999998</v>
      </c>
      <c r="W56" s="17">
        <v>8816.61</v>
      </c>
      <c r="X56" s="4">
        <f t="shared" si="8"/>
        <v>-772.70900000000074</v>
      </c>
      <c r="Y56" s="17">
        <v>2740.4650000000001</v>
      </c>
      <c r="Z56" s="17">
        <v>2733.922</v>
      </c>
      <c r="AA56" s="4">
        <f t="shared" si="9"/>
        <v>6.5430000000001201</v>
      </c>
      <c r="AB56" s="17">
        <v>82.331999999999994</v>
      </c>
      <c r="AC56" s="17">
        <v>180.00399999999999</v>
      </c>
      <c r="AD56" s="4">
        <f t="shared" si="10"/>
        <v>-97.671999999999997</v>
      </c>
      <c r="AE56" s="17">
        <f t="shared" si="11"/>
        <v>20878.063999999998</v>
      </c>
      <c r="AF56" s="17">
        <f t="shared" si="12"/>
        <v>24302.749</v>
      </c>
      <c r="AG56" s="4">
        <f t="shared" si="13"/>
        <v>-3424.6850000000013</v>
      </c>
      <c r="AH56" s="17">
        <v>-1550.588</v>
      </c>
      <c r="AI56" s="17">
        <v>294.267</v>
      </c>
      <c r="AJ56" s="4">
        <f t="shared" si="14"/>
        <v>-1844.855</v>
      </c>
      <c r="AK56" s="17"/>
      <c r="AL56" s="17"/>
      <c r="AM56" s="4">
        <f t="shared" si="15"/>
        <v>0</v>
      </c>
      <c r="AN56" s="17">
        <f>J56+M56-AE56-AH56+AK56</f>
        <v>10911.474999999999</v>
      </c>
      <c r="AO56" s="17">
        <f>K56+N56-AF56-AI56+AL56</f>
        <v>5420.1530000000021</v>
      </c>
      <c r="AP56" s="4">
        <f t="shared" si="18"/>
        <v>5491.3219999999965</v>
      </c>
      <c r="AQ56" s="17"/>
      <c r="AR56" s="17"/>
      <c r="AS56" s="4">
        <f t="shared" si="19"/>
        <v>0</v>
      </c>
      <c r="AT56" s="17"/>
      <c r="AU56" s="17"/>
      <c r="AV56" s="4">
        <f t="shared" si="20"/>
        <v>0</v>
      </c>
      <c r="AW56" s="17">
        <f t="shared" si="21"/>
        <v>10911.474999999999</v>
      </c>
      <c r="AX56" s="17">
        <f t="shared" si="22"/>
        <v>5420.1530000000021</v>
      </c>
      <c r="AY56" s="4">
        <f t="shared" si="23"/>
        <v>5491.3219999999965</v>
      </c>
      <c r="AZ56" s="17">
        <f t="shared" si="24"/>
        <v>13651.939999999999</v>
      </c>
      <c r="BA56" s="17">
        <f t="shared" si="25"/>
        <v>8154.0750000000025</v>
      </c>
      <c r="BB56" s="4">
        <f t="shared" si="26"/>
        <v>5497.8649999999961</v>
      </c>
      <c r="BC56" s="17">
        <f t="shared" si="27"/>
        <v>13734.271999999999</v>
      </c>
      <c r="BD56" s="17">
        <f t="shared" si="28"/>
        <v>8334.0790000000034</v>
      </c>
      <c r="BE56" s="4">
        <f t="shared" si="29"/>
        <v>5400.1929999999957</v>
      </c>
      <c r="BF56" s="7"/>
    </row>
    <row r="57" spans="1:58" ht="15" customHeight="1" x14ac:dyDescent="0.3">
      <c r="A57" s="32"/>
      <c r="B57" s="3" t="s">
        <v>9</v>
      </c>
      <c r="C57" s="12" t="s">
        <v>73</v>
      </c>
      <c r="D57" s="17">
        <f t="shared" si="0"/>
        <v>0</v>
      </c>
      <c r="E57" s="17">
        <f t="shared" si="1"/>
        <v>0</v>
      </c>
      <c r="F57" s="4">
        <f t="shared" si="2"/>
        <v>0</v>
      </c>
      <c r="G57" s="17">
        <v>0</v>
      </c>
      <c r="H57" s="17">
        <v>0</v>
      </c>
      <c r="I57" s="4">
        <f t="shared" si="3"/>
        <v>0</v>
      </c>
      <c r="J57" s="17"/>
      <c r="K57" s="17"/>
      <c r="L57" s="4">
        <f t="shared" si="4"/>
        <v>0</v>
      </c>
      <c r="M57" s="17"/>
      <c r="N57" s="17"/>
      <c r="O57" s="4">
        <f t="shared" si="5"/>
        <v>0</v>
      </c>
      <c r="P57" s="17">
        <v>0</v>
      </c>
      <c r="Q57" s="17"/>
      <c r="R57" s="4">
        <f t="shared" si="6"/>
        <v>0</v>
      </c>
      <c r="S57" s="17"/>
      <c r="T57" s="17"/>
      <c r="U57" s="4">
        <f t="shared" si="7"/>
        <v>0</v>
      </c>
      <c r="V57" s="17">
        <v>0</v>
      </c>
      <c r="W57" s="17"/>
      <c r="X57" s="4">
        <f t="shared" si="8"/>
        <v>0</v>
      </c>
      <c r="Y57" s="17">
        <v>0</v>
      </c>
      <c r="Z57" s="17"/>
      <c r="AA57" s="4">
        <f t="shared" si="9"/>
        <v>0</v>
      </c>
      <c r="AB57" s="17">
        <v>0</v>
      </c>
      <c r="AC57" s="17"/>
      <c r="AD57" s="4">
        <f t="shared" si="10"/>
        <v>0</v>
      </c>
      <c r="AE57" s="17">
        <f t="shared" si="11"/>
        <v>0</v>
      </c>
      <c r="AF57" s="17">
        <f t="shared" si="12"/>
        <v>0</v>
      </c>
      <c r="AG57" s="4">
        <f t="shared" si="13"/>
        <v>0</v>
      </c>
      <c r="AH57" s="17">
        <v>0</v>
      </c>
      <c r="AI57" s="17">
        <v>0</v>
      </c>
      <c r="AJ57" s="4">
        <f t="shared" si="14"/>
        <v>0</v>
      </c>
      <c r="AK57" s="17"/>
      <c r="AL57" s="17"/>
      <c r="AM57" s="4">
        <f t="shared" si="15"/>
        <v>0</v>
      </c>
      <c r="AN57" s="17">
        <f t="shared" si="16"/>
        <v>0</v>
      </c>
      <c r="AO57" s="17">
        <f t="shared" si="17"/>
        <v>0</v>
      </c>
      <c r="AP57" s="4">
        <f t="shared" si="18"/>
        <v>0</v>
      </c>
      <c r="AQ57" s="17"/>
      <c r="AR57" s="17"/>
      <c r="AS57" s="4">
        <f t="shared" si="19"/>
        <v>0</v>
      </c>
      <c r="AT57" s="17"/>
      <c r="AU57" s="17"/>
      <c r="AV57" s="4">
        <f t="shared" si="20"/>
        <v>0</v>
      </c>
      <c r="AW57" s="17">
        <f t="shared" si="21"/>
        <v>0</v>
      </c>
      <c r="AX57" s="17">
        <f t="shared" si="22"/>
        <v>0</v>
      </c>
      <c r="AY57" s="4">
        <f t="shared" si="23"/>
        <v>0</v>
      </c>
      <c r="AZ57" s="17">
        <f t="shared" si="24"/>
        <v>0</v>
      </c>
      <c r="BA57" s="17">
        <f t="shared" si="25"/>
        <v>0</v>
      </c>
      <c r="BB57" s="4">
        <f t="shared" si="26"/>
        <v>0</v>
      </c>
      <c r="BC57" s="17">
        <f t="shared" si="27"/>
        <v>0</v>
      </c>
      <c r="BD57" s="17">
        <f t="shared" si="28"/>
        <v>0</v>
      </c>
      <c r="BE57" s="4">
        <f t="shared" si="29"/>
        <v>0</v>
      </c>
      <c r="BF57" s="7"/>
    </row>
    <row r="58" spans="1:58" ht="15" customHeight="1" x14ac:dyDescent="0.3">
      <c r="A58" s="32"/>
      <c r="B58" s="3" t="s">
        <v>9</v>
      </c>
      <c r="C58" s="12" t="s">
        <v>74</v>
      </c>
      <c r="D58" s="17">
        <f t="shared" si="0"/>
        <v>0</v>
      </c>
      <c r="E58" s="17">
        <f t="shared" si="1"/>
        <v>0</v>
      </c>
      <c r="F58" s="4">
        <f t="shared" si="2"/>
        <v>0</v>
      </c>
      <c r="G58" s="17"/>
      <c r="H58" s="17"/>
      <c r="I58" s="4">
        <f t="shared" si="3"/>
        <v>0</v>
      </c>
      <c r="J58" s="17"/>
      <c r="K58" s="17"/>
      <c r="L58" s="4">
        <f t="shared" si="4"/>
        <v>0</v>
      </c>
      <c r="M58" s="17"/>
      <c r="N58" s="17"/>
      <c r="O58" s="4">
        <f t="shared" si="5"/>
        <v>0</v>
      </c>
      <c r="P58" s="17"/>
      <c r="Q58" s="17"/>
      <c r="R58" s="4">
        <f t="shared" si="6"/>
        <v>0</v>
      </c>
      <c r="S58" s="17"/>
      <c r="T58" s="17"/>
      <c r="U58" s="4">
        <f t="shared" si="7"/>
        <v>0</v>
      </c>
      <c r="V58" s="17"/>
      <c r="W58" s="17"/>
      <c r="X58" s="4">
        <f t="shared" si="8"/>
        <v>0</v>
      </c>
      <c r="Y58" s="17"/>
      <c r="Z58" s="17"/>
      <c r="AA58" s="4">
        <f t="shared" si="9"/>
        <v>0</v>
      </c>
      <c r="AB58" s="17"/>
      <c r="AC58" s="17"/>
      <c r="AD58" s="4">
        <f t="shared" si="10"/>
        <v>0</v>
      </c>
      <c r="AE58" s="17">
        <f t="shared" si="11"/>
        <v>0</v>
      </c>
      <c r="AF58" s="17">
        <f t="shared" si="12"/>
        <v>0</v>
      </c>
      <c r="AG58" s="4">
        <f t="shared" si="13"/>
        <v>0</v>
      </c>
      <c r="AH58" s="17"/>
      <c r="AI58" s="17"/>
      <c r="AJ58" s="4">
        <f t="shared" si="14"/>
        <v>0</v>
      </c>
      <c r="AK58" s="17"/>
      <c r="AL58" s="17"/>
      <c r="AM58" s="4">
        <f t="shared" si="15"/>
        <v>0</v>
      </c>
      <c r="AN58" s="17">
        <f t="shared" si="16"/>
        <v>0</v>
      </c>
      <c r="AO58" s="17">
        <f t="shared" si="17"/>
        <v>0</v>
      </c>
      <c r="AP58" s="4">
        <f t="shared" si="18"/>
        <v>0</v>
      </c>
      <c r="AQ58" s="17"/>
      <c r="AR58" s="17"/>
      <c r="AS58" s="4">
        <f t="shared" si="19"/>
        <v>0</v>
      </c>
      <c r="AT58" s="17"/>
      <c r="AU58" s="17"/>
      <c r="AV58" s="4">
        <f t="shared" si="20"/>
        <v>0</v>
      </c>
      <c r="AW58" s="17">
        <f t="shared" si="21"/>
        <v>0</v>
      </c>
      <c r="AX58" s="17">
        <f t="shared" si="22"/>
        <v>0</v>
      </c>
      <c r="AY58" s="4">
        <f t="shared" si="23"/>
        <v>0</v>
      </c>
      <c r="AZ58" s="17">
        <f t="shared" si="24"/>
        <v>0</v>
      </c>
      <c r="BA58" s="17">
        <f t="shared" si="25"/>
        <v>0</v>
      </c>
      <c r="BB58" s="4">
        <f t="shared" si="26"/>
        <v>0</v>
      </c>
      <c r="BC58" s="17">
        <f t="shared" si="27"/>
        <v>0</v>
      </c>
      <c r="BD58" s="17">
        <f t="shared" si="28"/>
        <v>0</v>
      </c>
      <c r="BE58" s="4">
        <f t="shared" si="29"/>
        <v>0</v>
      </c>
      <c r="BF58" s="7"/>
    </row>
    <row r="59" spans="1:58" ht="15" customHeight="1" x14ac:dyDescent="0.3">
      <c r="A59" s="38"/>
      <c r="B59" s="3" t="s">
        <v>9</v>
      </c>
      <c r="C59" s="12" t="s">
        <v>75</v>
      </c>
      <c r="D59" s="17">
        <f t="shared" si="0"/>
        <v>0</v>
      </c>
      <c r="E59" s="17">
        <f t="shared" si="1"/>
        <v>0</v>
      </c>
      <c r="F59" s="4">
        <f t="shared" si="2"/>
        <v>0</v>
      </c>
      <c r="G59" s="17"/>
      <c r="H59" s="17"/>
      <c r="I59" s="4">
        <f t="shared" si="3"/>
        <v>0</v>
      </c>
      <c r="J59" s="17"/>
      <c r="K59" s="17"/>
      <c r="L59" s="4">
        <f t="shared" si="4"/>
        <v>0</v>
      </c>
      <c r="M59" s="17"/>
      <c r="N59" s="17"/>
      <c r="O59" s="4">
        <f t="shared" si="5"/>
        <v>0</v>
      </c>
      <c r="P59" s="17"/>
      <c r="Q59" s="17"/>
      <c r="R59" s="4">
        <f t="shared" si="6"/>
        <v>0</v>
      </c>
      <c r="S59" s="17"/>
      <c r="T59" s="17"/>
      <c r="U59" s="4">
        <f t="shared" si="7"/>
        <v>0</v>
      </c>
      <c r="V59" s="17"/>
      <c r="W59" s="17"/>
      <c r="X59" s="4">
        <f t="shared" si="8"/>
        <v>0</v>
      </c>
      <c r="Y59" s="17"/>
      <c r="Z59" s="17"/>
      <c r="AA59" s="4">
        <f t="shared" si="9"/>
        <v>0</v>
      </c>
      <c r="AB59" s="17"/>
      <c r="AC59" s="17"/>
      <c r="AD59" s="4">
        <f t="shared" si="10"/>
        <v>0</v>
      </c>
      <c r="AE59" s="17">
        <f t="shared" si="11"/>
        <v>0</v>
      </c>
      <c r="AF59" s="17">
        <f t="shared" si="12"/>
        <v>0</v>
      </c>
      <c r="AG59" s="4">
        <f t="shared" si="13"/>
        <v>0</v>
      </c>
      <c r="AH59" s="17"/>
      <c r="AI59" s="17"/>
      <c r="AJ59" s="4">
        <f t="shared" si="14"/>
        <v>0</v>
      </c>
      <c r="AK59" s="17"/>
      <c r="AL59" s="17"/>
      <c r="AM59" s="4">
        <f t="shared" si="15"/>
        <v>0</v>
      </c>
      <c r="AN59" s="17">
        <f t="shared" si="16"/>
        <v>0</v>
      </c>
      <c r="AO59" s="17">
        <f t="shared" si="17"/>
        <v>0</v>
      </c>
      <c r="AP59" s="4">
        <f t="shared" si="18"/>
        <v>0</v>
      </c>
      <c r="AQ59" s="17"/>
      <c r="AR59" s="17"/>
      <c r="AS59" s="4">
        <f t="shared" si="19"/>
        <v>0</v>
      </c>
      <c r="AT59" s="17"/>
      <c r="AU59" s="17"/>
      <c r="AV59" s="4">
        <f t="shared" si="20"/>
        <v>0</v>
      </c>
      <c r="AW59" s="17">
        <f t="shared" si="21"/>
        <v>0</v>
      </c>
      <c r="AX59" s="17">
        <f t="shared" si="22"/>
        <v>0</v>
      </c>
      <c r="AY59" s="4">
        <f t="shared" si="23"/>
        <v>0</v>
      </c>
      <c r="AZ59" s="17">
        <f t="shared" si="24"/>
        <v>0</v>
      </c>
      <c r="BA59" s="17">
        <f t="shared" si="25"/>
        <v>0</v>
      </c>
      <c r="BB59" s="4">
        <f t="shared" si="26"/>
        <v>0</v>
      </c>
      <c r="BC59" s="17">
        <f t="shared" si="27"/>
        <v>0</v>
      </c>
      <c r="BD59" s="17">
        <f t="shared" si="28"/>
        <v>0</v>
      </c>
      <c r="BE59" s="4">
        <f t="shared" si="29"/>
        <v>0</v>
      </c>
      <c r="BF59" s="7"/>
    </row>
    <row r="60" spans="1:58" s="20" customFormat="1" ht="15" customHeight="1" x14ac:dyDescent="0.3">
      <c r="A60" s="34" t="s">
        <v>11</v>
      </c>
      <c r="B60" s="35"/>
      <c r="C60" s="36"/>
      <c r="D60" s="18">
        <f>SUM(D56:D59)</f>
        <v>275.46111243915328</v>
      </c>
      <c r="E60" s="18">
        <f>SUM(E56:E59)</f>
        <v>291.58454973770097</v>
      </c>
      <c r="F60" s="19">
        <f t="shared" si="2"/>
        <v>-16.123437298547685</v>
      </c>
      <c r="G60" s="18">
        <f t="shared" ref="G60:H60" si="187">SUM(G56:G59)</f>
        <v>82233.735000000001</v>
      </c>
      <c r="H60" s="18">
        <f t="shared" si="187"/>
        <v>87047.084000000003</v>
      </c>
      <c r="I60" s="19">
        <f t="shared" si="3"/>
        <v>-4813.349000000002</v>
      </c>
      <c r="J60" s="18">
        <f t="shared" ref="J60:K60" si="188">SUM(J56:J59)</f>
        <v>29169.116999999998</v>
      </c>
      <c r="K60" s="18">
        <f t="shared" si="188"/>
        <v>29550.502</v>
      </c>
      <c r="L60" s="19">
        <f t="shared" si="4"/>
        <v>-381.38500000000204</v>
      </c>
      <c r="M60" s="18">
        <f t="shared" ref="M60:N60" si="189">SUM(M56:M59)</f>
        <v>1069.8340000000001</v>
      </c>
      <c r="N60" s="18">
        <f t="shared" si="189"/>
        <v>466.66699999999997</v>
      </c>
      <c r="O60" s="19">
        <f t="shared" si="5"/>
        <v>603.16700000000014</v>
      </c>
      <c r="P60" s="18">
        <f t="shared" ref="P60:Q60" si="190">SUM(P56:P59)</f>
        <v>7460.6980000000003</v>
      </c>
      <c r="Q60" s="18">
        <f t="shared" si="190"/>
        <v>9713.9380000000001</v>
      </c>
      <c r="R60" s="19">
        <f t="shared" si="6"/>
        <v>-2253.2399999999998</v>
      </c>
      <c r="S60" s="18">
        <f t="shared" ref="S60:T60" si="191">SUM(S56:S59)</f>
        <v>2550.6680000000001</v>
      </c>
      <c r="T60" s="18">
        <f t="shared" si="191"/>
        <v>2858.2750000000001</v>
      </c>
      <c r="U60" s="19">
        <f t="shared" si="7"/>
        <v>-307.60699999999997</v>
      </c>
      <c r="V60" s="18">
        <f t="shared" ref="V60:W60" si="192">SUM(V56:V59)</f>
        <v>8043.9009999999998</v>
      </c>
      <c r="W60" s="18">
        <f t="shared" si="192"/>
        <v>8816.61</v>
      </c>
      <c r="X60" s="19">
        <f t="shared" si="8"/>
        <v>-772.70900000000074</v>
      </c>
      <c r="Y60" s="18">
        <f t="shared" ref="Y60:Z60" si="193">SUM(Y56:Y59)</f>
        <v>2740.4650000000001</v>
      </c>
      <c r="Z60" s="18">
        <f t="shared" si="193"/>
        <v>2733.922</v>
      </c>
      <c r="AA60" s="19">
        <f t="shared" si="9"/>
        <v>6.5430000000001201</v>
      </c>
      <c r="AB60" s="18">
        <f t="shared" ref="AB60:AC60" si="194">SUM(AB56:AB59)</f>
        <v>82.331999999999994</v>
      </c>
      <c r="AC60" s="18">
        <f t="shared" si="194"/>
        <v>180.00399999999999</v>
      </c>
      <c r="AD60" s="19">
        <f t="shared" si="10"/>
        <v>-97.671999999999997</v>
      </c>
      <c r="AE60" s="18">
        <f t="shared" ref="AE60:AF60" si="195">SUM(AE56:AE59)</f>
        <v>20878.063999999998</v>
      </c>
      <c r="AF60" s="18">
        <f t="shared" si="195"/>
        <v>24302.749</v>
      </c>
      <c r="AG60" s="19">
        <f t="shared" si="13"/>
        <v>-3424.6850000000013</v>
      </c>
      <c r="AH60" s="18">
        <f t="shared" ref="AH60:AI60" si="196">SUM(AH56:AH59)</f>
        <v>-1550.588</v>
      </c>
      <c r="AI60" s="18">
        <f t="shared" si="196"/>
        <v>294.267</v>
      </c>
      <c r="AJ60" s="19">
        <f t="shared" si="14"/>
        <v>-1844.855</v>
      </c>
      <c r="AK60" s="18">
        <f t="shared" ref="AK60:AL60" si="197">SUM(AK56:AK59)</f>
        <v>0</v>
      </c>
      <c r="AL60" s="18">
        <f t="shared" si="197"/>
        <v>0</v>
      </c>
      <c r="AM60" s="19">
        <f t="shared" si="15"/>
        <v>0</v>
      </c>
      <c r="AN60" s="18">
        <f t="shared" ref="AN60:AO60" si="198">SUM(AN56:AN59)</f>
        <v>10911.474999999999</v>
      </c>
      <c r="AO60" s="18">
        <f t="shared" si="198"/>
        <v>5420.1530000000021</v>
      </c>
      <c r="AP60" s="19">
        <f t="shared" si="18"/>
        <v>5491.3219999999965</v>
      </c>
      <c r="AQ60" s="18">
        <f t="shared" ref="AQ60:AR60" si="199">SUM(AQ56:AQ59)</f>
        <v>0</v>
      </c>
      <c r="AR60" s="18">
        <f t="shared" si="199"/>
        <v>0</v>
      </c>
      <c r="AS60" s="19">
        <f t="shared" si="19"/>
        <v>0</v>
      </c>
      <c r="AT60" s="18">
        <f t="shared" ref="AT60:AU60" si="200">SUM(AT56:AT59)</f>
        <v>0</v>
      </c>
      <c r="AU60" s="18">
        <f t="shared" si="200"/>
        <v>0</v>
      </c>
      <c r="AV60" s="19">
        <f t="shared" si="20"/>
        <v>0</v>
      </c>
      <c r="AW60" s="18">
        <f t="shared" ref="AW60:AX60" si="201">SUM(AW56:AW59)</f>
        <v>10911.474999999999</v>
      </c>
      <c r="AX60" s="18">
        <f t="shared" si="201"/>
        <v>5420.1530000000021</v>
      </c>
      <c r="AY60" s="19">
        <f t="shared" si="23"/>
        <v>5491.3219999999965</v>
      </c>
      <c r="AZ60" s="18">
        <f t="shared" ref="AZ60:BA60" si="202">SUM(AZ56:AZ59)</f>
        <v>13651.939999999999</v>
      </c>
      <c r="BA60" s="18">
        <f t="shared" si="202"/>
        <v>8154.0750000000025</v>
      </c>
      <c r="BB60" s="19">
        <f t="shared" si="26"/>
        <v>5497.8649999999961</v>
      </c>
      <c r="BC60" s="18">
        <f t="shared" ref="BC60:BD60" si="203">SUM(BC56:BC59)</f>
        <v>13734.271999999999</v>
      </c>
      <c r="BD60" s="18">
        <f t="shared" si="203"/>
        <v>8334.0790000000034</v>
      </c>
      <c r="BE60" s="19">
        <f t="shared" si="29"/>
        <v>5400.1929999999957</v>
      </c>
      <c r="BF60" s="7"/>
    </row>
    <row r="61" spans="1:58" s="8" customFormat="1" ht="15" customHeight="1" x14ac:dyDescent="0.3">
      <c r="A61" s="37" t="s">
        <v>87</v>
      </c>
      <c r="B61" s="3" t="s">
        <v>10</v>
      </c>
      <c r="C61" s="3" t="s">
        <v>88</v>
      </c>
      <c r="D61" s="14">
        <f t="shared" ref="D61:E61" si="204">G61/$F$1</f>
        <v>1265.6350426429035</v>
      </c>
      <c r="E61" s="14">
        <f t="shared" si="204"/>
        <v>2505.5352561207274</v>
      </c>
      <c r="F61" s="4">
        <f t="shared" si="2"/>
        <v>-1239.9002134778239</v>
      </c>
      <c r="G61" s="14">
        <v>377831.54138099996</v>
      </c>
      <c r="H61" s="14">
        <v>747980.43346500013</v>
      </c>
      <c r="I61" s="4">
        <f t="shared" si="3"/>
        <v>-370148.89208400017</v>
      </c>
      <c r="J61" s="14">
        <v>79111.98834000004</v>
      </c>
      <c r="K61" s="14">
        <v>185308.89330083693</v>
      </c>
      <c r="L61" s="4">
        <f t="shared" si="4"/>
        <v>-106196.9049608369</v>
      </c>
      <c r="M61" s="14">
        <v>1542.8195130000004</v>
      </c>
      <c r="N61" s="14"/>
      <c r="O61" s="4">
        <f t="shared" si="5"/>
        <v>1542.8195130000004</v>
      </c>
      <c r="P61" s="14">
        <v>44044.365259991995</v>
      </c>
      <c r="Q61" s="14">
        <v>67674.848482349989</v>
      </c>
      <c r="R61" s="4">
        <f t="shared" si="6"/>
        <v>-23630.483222357994</v>
      </c>
      <c r="S61" s="14">
        <v>28061.535593999997</v>
      </c>
      <c r="T61" s="14">
        <v>32573.190716781814</v>
      </c>
      <c r="U61" s="4">
        <f t="shared" si="7"/>
        <v>-4511.6551227818163</v>
      </c>
      <c r="V61" s="14">
        <v>14651.032163999997</v>
      </c>
      <c r="W61" s="14">
        <v>25568.671985935722</v>
      </c>
      <c r="X61" s="4">
        <f t="shared" si="8"/>
        <v>-10917.639821935725</v>
      </c>
      <c r="Y61" s="14">
        <v>16244.252957999999</v>
      </c>
      <c r="Z61" s="14">
        <v>13880.958200000001</v>
      </c>
      <c r="AA61" s="4">
        <f t="shared" si="9"/>
        <v>2363.2947579999982</v>
      </c>
      <c r="AB61" s="14">
        <v>3682.6960140000001</v>
      </c>
      <c r="AC61" s="14">
        <v>6709.7423190833333</v>
      </c>
      <c r="AD61" s="4">
        <f t="shared" si="10"/>
        <v>-3027.0463050833332</v>
      </c>
      <c r="AE61" s="14">
        <f>P61+S61+V61+Y61+AB61+AK61</f>
        <v>104187.56944099198</v>
      </c>
      <c r="AF61" s="14">
        <f t="shared" ref="AF61" si="205">Q61+T61+W61+Z61+AC61</f>
        <v>146407.41170415087</v>
      </c>
      <c r="AG61" s="4">
        <f t="shared" si="13"/>
        <v>-42219.842263158891</v>
      </c>
      <c r="AH61" s="14">
        <v>23683.370553000001</v>
      </c>
      <c r="AI61" s="14"/>
      <c r="AJ61" s="4">
        <f t="shared" si="14"/>
        <v>23683.370553000001</v>
      </c>
      <c r="AK61" s="14">
        <v>-2496.3125490000007</v>
      </c>
      <c r="AL61" s="14">
        <v>0</v>
      </c>
      <c r="AM61" s="4">
        <f t="shared" si="15"/>
        <v>-2496.3125490000007</v>
      </c>
      <c r="AN61" s="14">
        <f>J61+M61-AE61-AH61</f>
        <v>-47216.132140991947</v>
      </c>
      <c r="AO61" s="14">
        <f>K61+N61-AF61-AI61</f>
        <v>38901.481596686062</v>
      </c>
      <c r="AP61" s="4">
        <f t="shared" si="18"/>
        <v>-86117.61373767801</v>
      </c>
      <c r="AQ61" s="14">
        <v>0</v>
      </c>
      <c r="AR61" s="14">
        <v>0</v>
      </c>
      <c r="AS61" s="4">
        <f t="shared" si="19"/>
        <v>0</v>
      </c>
      <c r="AT61" s="14"/>
      <c r="AU61" s="14"/>
      <c r="AV61" s="4">
        <f t="shared" si="20"/>
        <v>0</v>
      </c>
      <c r="AW61" s="14">
        <f t="shared" ref="AW61:AX61" si="206">AN61-AQ61+AT61</f>
        <v>-47216.132140991947</v>
      </c>
      <c r="AX61" s="14">
        <f t="shared" si="206"/>
        <v>38901.481596686062</v>
      </c>
      <c r="AY61" s="4">
        <f t="shared" si="23"/>
        <v>-86117.61373767801</v>
      </c>
      <c r="AZ61" s="14">
        <f t="shared" ref="AZ61:BA61" si="207">AN61+Y61</f>
        <v>-30971.87918299195</v>
      </c>
      <c r="BA61" s="14">
        <f t="shared" si="207"/>
        <v>52782.439796686063</v>
      </c>
      <c r="BB61" s="4">
        <f t="shared" si="26"/>
        <v>-83754.318979678006</v>
      </c>
      <c r="BC61" s="14">
        <f t="shared" ref="BC61:BD61" si="208">AZ61+AB61</f>
        <v>-27289.183168991949</v>
      </c>
      <c r="BD61" s="14">
        <f t="shared" si="208"/>
        <v>59492.182115769399</v>
      </c>
      <c r="BE61" s="4">
        <f t="shared" si="29"/>
        <v>-86781.365284761356</v>
      </c>
      <c r="BF61" s="27" t="s">
        <v>89</v>
      </c>
    </row>
    <row r="62" spans="1:58" ht="15" customHeight="1" x14ac:dyDescent="0.3">
      <c r="A62" s="32"/>
      <c r="B62" s="10" t="s">
        <v>10</v>
      </c>
      <c r="C62" s="3" t="s">
        <v>90</v>
      </c>
      <c r="D62" s="17">
        <f t="shared" si="0"/>
        <v>602.53616443186854</v>
      </c>
      <c r="E62" s="17">
        <f t="shared" si="1"/>
        <v>1061.4072443408998</v>
      </c>
      <c r="F62" s="4">
        <f t="shared" si="2"/>
        <v>-458.87107990903121</v>
      </c>
      <c r="G62" s="17">
        <v>179875.84104</v>
      </c>
      <c r="H62" s="17">
        <v>316863.17275542795</v>
      </c>
      <c r="I62" s="4">
        <f t="shared" si="3"/>
        <v>-136987.33171542795</v>
      </c>
      <c r="J62" s="17">
        <v>49502.205891235564</v>
      </c>
      <c r="K62" s="17">
        <v>81034.15026385877</v>
      </c>
      <c r="L62" s="4">
        <f t="shared" si="4"/>
        <v>-31531.944372623206</v>
      </c>
      <c r="M62" s="17">
        <v>511.60823999999997</v>
      </c>
      <c r="N62" s="17">
        <v>0</v>
      </c>
      <c r="O62" s="4">
        <f t="shared" si="5"/>
        <v>511.60823999999997</v>
      </c>
      <c r="P62" s="17">
        <v>12388.952519999999</v>
      </c>
      <c r="Q62" s="17">
        <v>13361.524061819309</v>
      </c>
      <c r="R62" s="4">
        <f t="shared" si="6"/>
        <v>-972.57154181931037</v>
      </c>
      <c r="S62" s="17">
        <v>10425.96667</v>
      </c>
      <c r="T62" s="17">
        <v>10762.665760297768</v>
      </c>
      <c r="U62" s="4">
        <f t="shared" si="7"/>
        <v>-336.69909029776863</v>
      </c>
      <c r="V62" s="17">
        <v>3742.5983300000003</v>
      </c>
      <c r="W62" s="17">
        <v>4319.6015966805553</v>
      </c>
      <c r="X62" s="4">
        <f t="shared" si="8"/>
        <v>-577.00326668055504</v>
      </c>
      <c r="Y62" s="17">
        <v>11908.946298448274</v>
      </c>
      <c r="Z62" s="17">
        <v>8127.9005123349943</v>
      </c>
      <c r="AA62" s="4">
        <f t="shared" si="9"/>
        <v>3781.04578611328</v>
      </c>
      <c r="AB62" s="17">
        <v>524.16399999999999</v>
      </c>
      <c r="AC62" s="17">
        <v>301.47336416666661</v>
      </c>
      <c r="AD62" s="4">
        <f t="shared" si="10"/>
        <v>222.69063583333337</v>
      </c>
      <c r="AE62" s="17">
        <f t="shared" si="11"/>
        <v>38990.627818448273</v>
      </c>
      <c r="AF62" s="17">
        <f t="shared" si="12"/>
        <v>36873.165295299295</v>
      </c>
      <c r="AG62" s="4">
        <f t="shared" si="13"/>
        <v>2117.4625231489772</v>
      </c>
      <c r="AH62" s="17">
        <v>8498.982</v>
      </c>
      <c r="AI62" s="17">
        <v>0</v>
      </c>
      <c r="AJ62" s="4">
        <f t="shared" si="14"/>
        <v>8498.982</v>
      </c>
      <c r="AK62" s="17"/>
      <c r="AL62" s="17"/>
      <c r="AM62" s="4">
        <f t="shared" si="15"/>
        <v>0</v>
      </c>
      <c r="AN62" s="17">
        <f>J62+M62-AE62-AH62</f>
        <v>2524.204312787293</v>
      </c>
      <c r="AO62" s="17">
        <f t="shared" ref="AO62:AO65" si="209">K62+N62-AF62-AI62</f>
        <v>44160.984968559475</v>
      </c>
      <c r="AP62" s="4">
        <f t="shared" si="18"/>
        <v>-41636.780655772178</v>
      </c>
      <c r="AQ62" s="17">
        <v>12733.827042692816</v>
      </c>
      <c r="AR62" s="17">
        <v>7399.1992335717177</v>
      </c>
      <c r="AS62" s="4">
        <f t="shared" si="19"/>
        <v>5334.6278091210979</v>
      </c>
      <c r="AT62" s="17"/>
      <c r="AU62" s="17"/>
      <c r="AV62" s="4">
        <f t="shared" si="20"/>
        <v>0</v>
      </c>
      <c r="AW62" s="17">
        <f t="shared" si="21"/>
        <v>-10209.622729905523</v>
      </c>
      <c r="AX62" s="17">
        <f t="shared" si="22"/>
        <v>36761.785734987759</v>
      </c>
      <c r="AY62" s="4">
        <f t="shared" si="23"/>
        <v>-46971.408464893284</v>
      </c>
      <c r="AZ62" s="17">
        <f t="shared" si="24"/>
        <v>14433.150611235567</v>
      </c>
      <c r="BA62" s="17">
        <f t="shared" si="25"/>
        <v>52288.885480894467</v>
      </c>
      <c r="BB62" s="4">
        <f t="shared" si="26"/>
        <v>-37855.734869658903</v>
      </c>
      <c r="BC62" s="17">
        <f t="shared" si="27"/>
        <v>14957.314611235568</v>
      </c>
      <c r="BD62" s="17">
        <f t="shared" si="28"/>
        <v>52590.358845061135</v>
      </c>
      <c r="BE62" s="4">
        <f t="shared" si="29"/>
        <v>-37633.044233825567</v>
      </c>
      <c r="BF62" s="7" t="s">
        <v>91</v>
      </c>
    </row>
    <row r="63" spans="1:58" ht="15" customHeight="1" x14ac:dyDescent="0.3">
      <c r="A63" s="32"/>
      <c r="B63" s="10" t="s">
        <v>10</v>
      </c>
      <c r="C63" s="3" t="s">
        <v>92</v>
      </c>
      <c r="D63" s="17">
        <f t="shared" si="0"/>
        <v>1557.5012446517353</v>
      </c>
      <c r="E63" s="17">
        <f t="shared" si="1"/>
        <v>1622.5813117919463</v>
      </c>
      <c r="F63" s="4">
        <f t="shared" si="2"/>
        <v>-65.080067140210986</v>
      </c>
      <c r="G63" s="17">
        <v>464962.70737000101</v>
      </c>
      <c r="H63" s="17">
        <v>484391.13756692206</v>
      </c>
      <c r="I63" s="4">
        <f t="shared" si="3"/>
        <v>-19428.43019692105</v>
      </c>
      <c r="J63" s="17">
        <v>147789.899620001</v>
      </c>
      <c r="K63" s="17">
        <v>149940.00288338054</v>
      </c>
      <c r="L63" s="4">
        <f t="shared" si="4"/>
        <v>-2150.1032633795403</v>
      </c>
      <c r="M63" s="17">
        <v>475.72949999999997</v>
      </c>
      <c r="N63" s="17">
        <v>0</v>
      </c>
      <c r="O63" s="4">
        <f t="shared" si="5"/>
        <v>475.72949999999997</v>
      </c>
      <c r="P63" s="17">
        <v>27263.170270000006</v>
      </c>
      <c r="Q63" s="17">
        <v>29777.577997344051</v>
      </c>
      <c r="R63" s="4">
        <f t="shared" si="6"/>
        <v>-2514.4077273440453</v>
      </c>
      <c r="S63" s="17">
        <v>17032.928100000001</v>
      </c>
      <c r="T63" s="17">
        <v>17106.973959497751</v>
      </c>
      <c r="U63" s="4">
        <f t="shared" si="7"/>
        <v>-74.045859497749916</v>
      </c>
      <c r="V63" s="17">
        <v>25533.23804</v>
      </c>
      <c r="W63" s="17">
        <v>25133.907019948139</v>
      </c>
      <c r="X63" s="4">
        <f t="shared" si="8"/>
        <v>399.33102005186083</v>
      </c>
      <c r="Y63" s="17">
        <v>11795.971939999999</v>
      </c>
      <c r="Z63" s="17">
        <v>6675.4170000000004</v>
      </c>
      <c r="AA63" s="4">
        <f t="shared" si="9"/>
        <v>5120.5549399999991</v>
      </c>
      <c r="AB63" s="17">
        <v>938.24099999999999</v>
      </c>
      <c r="AC63" s="17">
        <v>1085.0706538441825</v>
      </c>
      <c r="AD63" s="4">
        <f t="shared" si="10"/>
        <v>-146.82965384418253</v>
      </c>
      <c r="AE63" s="17">
        <f t="shared" si="11"/>
        <v>82563.549350000001</v>
      </c>
      <c r="AF63" s="17">
        <f t="shared" si="12"/>
        <v>79778.946630634135</v>
      </c>
      <c r="AG63" s="4">
        <f t="shared" si="13"/>
        <v>2784.6027193658665</v>
      </c>
      <c r="AH63" s="17">
        <v>-5469.5669699999999</v>
      </c>
      <c r="AI63" s="17">
        <v>0</v>
      </c>
      <c r="AJ63" s="4">
        <f t="shared" si="14"/>
        <v>-5469.5669699999999</v>
      </c>
      <c r="AK63" s="17"/>
      <c r="AL63" s="17"/>
      <c r="AM63" s="4">
        <f t="shared" si="15"/>
        <v>0</v>
      </c>
      <c r="AN63" s="17">
        <f t="shared" ref="AN63:AN65" si="210">J63+M63-AE63-AH63</f>
        <v>71171.646740000986</v>
      </c>
      <c r="AO63" s="17">
        <f t="shared" si="209"/>
        <v>70161.056252746406</v>
      </c>
      <c r="AP63" s="4">
        <f t="shared" si="18"/>
        <v>1010.5904872545798</v>
      </c>
      <c r="AQ63" s="17">
        <v>10374.659</v>
      </c>
      <c r="AR63" s="17">
        <v>0</v>
      </c>
      <c r="AS63" s="4">
        <f t="shared" si="19"/>
        <v>10374.659</v>
      </c>
      <c r="AT63" s="17"/>
      <c r="AU63" s="17"/>
      <c r="AV63" s="4">
        <f t="shared" si="20"/>
        <v>0</v>
      </c>
      <c r="AW63" s="17">
        <f t="shared" si="21"/>
        <v>60796.987740000986</v>
      </c>
      <c r="AX63" s="17">
        <f t="shared" si="22"/>
        <v>70161.056252746406</v>
      </c>
      <c r="AY63" s="4">
        <f t="shared" si="23"/>
        <v>-9364.0685127454199</v>
      </c>
      <c r="AZ63" s="17">
        <f t="shared" si="24"/>
        <v>82967.618680000989</v>
      </c>
      <c r="BA63" s="17">
        <f t="shared" si="25"/>
        <v>76836.473252746408</v>
      </c>
      <c r="BB63" s="4">
        <f t="shared" si="26"/>
        <v>6131.1454272545816</v>
      </c>
      <c r="BC63" s="17">
        <f t="shared" si="27"/>
        <v>83905.859680000984</v>
      </c>
      <c r="BD63" s="17">
        <f t="shared" si="28"/>
        <v>77921.543906590596</v>
      </c>
      <c r="BE63" s="4">
        <f t="shared" si="29"/>
        <v>5984.3157734103879</v>
      </c>
      <c r="BF63" s="7" t="s">
        <v>93</v>
      </c>
    </row>
    <row r="64" spans="1:58" ht="15" customHeight="1" x14ac:dyDescent="0.3">
      <c r="A64" s="32"/>
      <c r="B64" s="10" t="s">
        <v>10</v>
      </c>
      <c r="C64" s="3" t="s">
        <v>94</v>
      </c>
      <c r="D64" s="17">
        <f t="shared" si="0"/>
        <v>268.74911431190128</v>
      </c>
      <c r="E64" s="17">
        <f t="shared" si="1"/>
        <v>298.7939159577428</v>
      </c>
      <c r="F64" s="4">
        <f t="shared" si="2"/>
        <v>-30.044801645841517</v>
      </c>
      <c r="G64" s="17">
        <v>80229.994180000009</v>
      </c>
      <c r="H64" s="17">
        <v>89199.304710964512</v>
      </c>
      <c r="I64" s="4">
        <f t="shared" si="3"/>
        <v>-8969.3105309645034</v>
      </c>
      <c r="J64" s="17">
        <v>27065.088049999998</v>
      </c>
      <c r="K64" s="17">
        <v>32999.49842269878</v>
      </c>
      <c r="L64" s="4">
        <f t="shared" si="4"/>
        <v>-5934.4103726987814</v>
      </c>
      <c r="M64" s="17">
        <v>39.483059999999995</v>
      </c>
      <c r="N64" s="17">
        <v>0</v>
      </c>
      <c r="O64" s="4">
        <f t="shared" si="5"/>
        <v>39.483059999999995</v>
      </c>
      <c r="P64" s="17">
        <v>10094.397720000001</v>
      </c>
      <c r="Q64" s="17">
        <v>11548.018887751145</v>
      </c>
      <c r="R64" s="4">
        <f t="shared" si="6"/>
        <v>-1453.6211677511437</v>
      </c>
      <c r="S64" s="17">
        <v>5815.07006</v>
      </c>
      <c r="T64" s="17">
        <v>5584.9498339728616</v>
      </c>
      <c r="U64" s="4">
        <f t="shared" si="7"/>
        <v>230.12022602713841</v>
      </c>
      <c r="V64" s="17">
        <v>2995.71828</v>
      </c>
      <c r="W64" s="17">
        <v>3004.09175</v>
      </c>
      <c r="X64" s="4">
        <f t="shared" si="8"/>
        <v>-8.3734699999999975</v>
      </c>
      <c r="Y64" s="17">
        <v>2208.3392000000003</v>
      </c>
      <c r="Z64" s="17">
        <v>1284.2084407416667</v>
      </c>
      <c r="AA64" s="4">
        <f t="shared" si="9"/>
        <v>924.13075925833368</v>
      </c>
      <c r="AB64" s="17">
        <v>277.81896</v>
      </c>
      <c r="AC64" s="17">
        <v>733.77559444444444</v>
      </c>
      <c r="AD64" s="4">
        <f t="shared" si="10"/>
        <v>-455.95663444444443</v>
      </c>
      <c r="AE64" s="17">
        <f t="shared" si="11"/>
        <v>21391.344220000003</v>
      </c>
      <c r="AF64" s="17">
        <f t="shared" si="12"/>
        <v>22155.044506910115</v>
      </c>
      <c r="AG64" s="4">
        <f t="shared" si="13"/>
        <v>-763.70028691011248</v>
      </c>
      <c r="AH64" s="17">
        <v>549.70815000000005</v>
      </c>
      <c r="AI64" s="17">
        <v>0</v>
      </c>
      <c r="AJ64" s="4">
        <f t="shared" si="14"/>
        <v>549.70815000000005</v>
      </c>
      <c r="AK64" s="17"/>
      <c r="AL64" s="17"/>
      <c r="AM64" s="4">
        <f t="shared" si="15"/>
        <v>0</v>
      </c>
      <c r="AN64" s="17">
        <f t="shared" si="210"/>
        <v>5163.5187399999941</v>
      </c>
      <c r="AO64" s="17">
        <f t="shared" si="209"/>
        <v>10844.453915788665</v>
      </c>
      <c r="AP64" s="4">
        <f t="shared" si="18"/>
        <v>-5680.9351757886707</v>
      </c>
      <c r="AQ64" s="17">
        <v>50</v>
      </c>
      <c r="AR64" s="17">
        <v>0</v>
      </c>
      <c r="AS64" s="4">
        <f t="shared" si="19"/>
        <v>50</v>
      </c>
      <c r="AT64" s="17"/>
      <c r="AU64" s="17"/>
      <c r="AV64" s="4">
        <f t="shared" si="20"/>
        <v>0</v>
      </c>
      <c r="AW64" s="17">
        <f t="shared" si="21"/>
        <v>5113.5187399999941</v>
      </c>
      <c r="AX64" s="17">
        <f t="shared" si="22"/>
        <v>10844.453915788665</v>
      </c>
      <c r="AY64" s="4">
        <f t="shared" si="23"/>
        <v>-5730.9351757886707</v>
      </c>
      <c r="AZ64" s="17">
        <f t="shared" si="24"/>
        <v>7371.8579399999944</v>
      </c>
      <c r="BA64" s="17">
        <f t="shared" si="25"/>
        <v>12128.662356530331</v>
      </c>
      <c r="BB64" s="4">
        <f t="shared" si="26"/>
        <v>-4756.8044165303363</v>
      </c>
      <c r="BC64" s="17">
        <f t="shared" si="27"/>
        <v>7649.676899999994</v>
      </c>
      <c r="BD64" s="17">
        <f t="shared" si="28"/>
        <v>12862.437950974776</v>
      </c>
      <c r="BE64" s="4">
        <f t="shared" si="29"/>
        <v>-5212.7610509747819</v>
      </c>
      <c r="BF64" s="7" t="s">
        <v>95</v>
      </c>
    </row>
    <row r="65" spans="1:58" ht="15" customHeight="1" x14ac:dyDescent="0.3">
      <c r="A65" s="38"/>
      <c r="B65" s="10" t="s">
        <v>10</v>
      </c>
      <c r="C65" s="3" t="s">
        <v>96</v>
      </c>
      <c r="D65" s="17">
        <f t="shared" si="0"/>
        <v>0</v>
      </c>
      <c r="E65" s="17">
        <f t="shared" si="1"/>
        <v>0</v>
      </c>
      <c r="F65" s="4">
        <f t="shared" si="2"/>
        <v>0</v>
      </c>
      <c r="G65" s="17"/>
      <c r="H65" s="17"/>
      <c r="I65" s="4">
        <f t="shared" si="3"/>
        <v>0</v>
      </c>
      <c r="J65" s="17"/>
      <c r="K65" s="17"/>
      <c r="L65" s="4">
        <f t="shared" si="4"/>
        <v>0</v>
      </c>
      <c r="M65" s="17"/>
      <c r="N65" s="17"/>
      <c r="O65" s="4">
        <f t="shared" si="5"/>
        <v>0</v>
      </c>
      <c r="P65" s="17"/>
      <c r="Q65" s="17"/>
      <c r="R65" s="4">
        <f t="shared" si="6"/>
        <v>0</v>
      </c>
      <c r="S65" s="17"/>
      <c r="T65" s="17"/>
      <c r="U65" s="4">
        <f t="shared" si="7"/>
        <v>0</v>
      </c>
      <c r="V65" s="17"/>
      <c r="W65" s="17"/>
      <c r="X65" s="4">
        <f t="shared" si="8"/>
        <v>0</v>
      </c>
      <c r="Y65" s="17"/>
      <c r="Z65" s="17"/>
      <c r="AA65" s="4">
        <f t="shared" si="9"/>
        <v>0</v>
      </c>
      <c r="AB65" s="17"/>
      <c r="AC65" s="17"/>
      <c r="AD65" s="4">
        <f t="shared" si="10"/>
        <v>0</v>
      </c>
      <c r="AE65" s="17">
        <f t="shared" si="11"/>
        <v>0</v>
      </c>
      <c r="AF65" s="17">
        <f t="shared" si="12"/>
        <v>0</v>
      </c>
      <c r="AG65" s="4">
        <f t="shared" si="13"/>
        <v>0</v>
      </c>
      <c r="AH65" s="17"/>
      <c r="AI65" s="17"/>
      <c r="AJ65" s="4">
        <f t="shared" si="14"/>
        <v>0</v>
      </c>
      <c r="AK65" s="17"/>
      <c r="AL65" s="17"/>
      <c r="AM65" s="4">
        <f t="shared" si="15"/>
        <v>0</v>
      </c>
      <c r="AN65" s="17">
        <f t="shared" si="210"/>
        <v>0</v>
      </c>
      <c r="AO65" s="17">
        <f t="shared" si="209"/>
        <v>0</v>
      </c>
      <c r="AP65" s="4">
        <f t="shared" si="18"/>
        <v>0</v>
      </c>
      <c r="AQ65" s="17">
        <v>0</v>
      </c>
      <c r="AR65" s="17">
        <v>0</v>
      </c>
      <c r="AS65" s="4">
        <f t="shared" si="19"/>
        <v>0</v>
      </c>
      <c r="AT65" s="17"/>
      <c r="AU65" s="17"/>
      <c r="AV65" s="4">
        <f t="shared" si="20"/>
        <v>0</v>
      </c>
      <c r="AW65" s="17">
        <f t="shared" si="21"/>
        <v>0</v>
      </c>
      <c r="AX65" s="17">
        <f t="shared" si="22"/>
        <v>0</v>
      </c>
      <c r="AY65" s="4">
        <f t="shared" si="23"/>
        <v>0</v>
      </c>
      <c r="AZ65" s="17">
        <f t="shared" si="24"/>
        <v>0</v>
      </c>
      <c r="BA65" s="17">
        <f t="shared" si="25"/>
        <v>0</v>
      </c>
      <c r="BB65" s="4">
        <f t="shared" si="26"/>
        <v>0</v>
      </c>
      <c r="BC65" s="17">
        <f t="shared" si="27"/>
        <v>0</v>
      </c>
      <c r="BD65" s="17">
        <f t="shared" si="28"/>
        <v>0</v>
      </c>
      <c r="BE65" s="4">
        <f t="shared" si="29"/>
        <v>0</v>
      </c>
      <c r="BF65" s="7" t="s">
        <v>97</v>
      </c>
    </row>
    <row r="66" spans="1:58" s="20" customFormat="1" ht="15" customHeight="1" x14ac:dyDescent="0.3">
      <c r="A66" s="39" t="s">
        <v>11</v>
      </c>
      <c r="B66" s="40"/>
      <c r="C66" s="41"/>
      <c r="D66" s="18">
        <f>SUM(D61:D65)</f>
        <v>3694.4215660384089</v>
      </c>
      <c r="E66" s="18">
        <f>SUM(E61:E65)</f>
        <v>5488.3177282113156</v>
      </c>
      <c r="F66" s="19">
        <f t="shared" si="2"/>
        <v>-1793.8961621729068</v>
      </c>
      <c r="G66" s="18">
        <f t="shared" ref="G66:H66" si="211">SUM(G61:G65)</f>
        <v>1102900.083971001</v>
      </c>
      <c r="H66" s="18">
        <f t="shared" si="211"/>
        <v>1638434.0484983146</v>
      </c>
      <c r="I66" s="19">
        <f t="shared" si="3"/>
        <v>-535533.9645273136</v>
      </c>
      <c r="J66" s="18">
        <f t="shared" ref="J66:K66" si="212">SUM(J61:J65)</f>
        <v>303469.18190123665</v>
      </c>
      <c r="K66" s="18">
        <f t="shared" si="212"/>
        <v>449282.54487077502</v>
      </c>
      <c r="L66" s="19">
        <f t="shared" si="4"/>
        <v>-145813.36296953837</v>
      </c>
      <c r="M66" s="18">
        <f t="shared" ref="M66:N66" si="213">SUM(M61:M65)</f>
        <v>2569.6403130000003</v>
      </c>
      <c r="N66" s="18">
        <f t="shared" si="213"/>
        <v>0</v>
      </c>
      <c r="O66" s="19">
        <f t="shared" si="5"/>
        <v>2569.6403130000003</v>
      </c>
      <c r="P66" s="18">
        <f t="shared" ref="P66:Q66" si="214">SUM(P61:P65)</f>
        <v>93790.88576999199</v>
      </c>
      <c r="Q66" s="18">
        <f t="shared" si="214"/>
        <v>122361.96942926449</v>
      </c>
      <c r="R66" s="19">
        <f t="shared" si="6"/>
        <v>-28571.083659272495</v>
      </c>
      <c r="S66" s="18">
        <f t="shared" ref="S66:T66" si="215">SUM(S61:S65)</f>
        <v>61335.500423999998</v>
      </c>
      <c r="T66" s="18">
        <f t="shared" si="215"/>
        <v>66027.780270550196</v>
      </c>
      <c r="U66" s="19">
        <f t="shared" si="7"/>
        <v>-4692.2798465501983</v>
      </c>
      <c r="V66" s="18">
        <f t="shared" ref="V66:W66" si="216">SUM(V61:V65)</f>
        <v>46922.586813999995</v>
      </c>
      <c r="W66" s="18">
        <f t="shared" si="216"/>
        <v>58026.272352564418</v>
      </c>
      <c r="X66" s="19">
        <f t="shared" si="8"/>
        <v>-11103.685538564423</v>
      </c>
      <c r="Y66" s="18">
        <f t="shared" ref="Y66:Z66" si="217">SUM(Y61:Y65)</f>
        <v>42157.51039644827</v>
      </c>
      <c r="Z66" s="18">
        <f t="shared" si="217"/>
        <v>29968.484153076661</v>
      </c>
      <c r="AA66" s="19">
        <f t="shared" si="9"/>
        <v>12189.026243371609</v>
      </c>
      <c r="AB66" s="18">
        <f t="shared" ref="AB66:AC66" si="218">SUM(AB61:AB65)</f>
        <v>5422.9199739999995</v>
      </c>
      <c r="AC66" s="18">
        <f t="shared" si="218"/>
        <v>8830.0619315386266</v>
      </c>
      <c r="AD66" s="19">
        <f t="shared" si="10"/>
        <v>-3407.1419575386271</v>
      </c>
      <c r="AE66" s="18">
        <f t="shared" ref="AE66:AF66" si="219">SUM(AE61:AE65)</f>
        <v>247133.09082944025</v>
      </c>
      <c r="AF66" s="18">
        <f t="shared" si="219"/>
        <v>285214.56813699444</v>
      </c>
      <c r="AG66" s="19">
        <f t="shared" si="13"/>
        <v>-38081.477307554189</v>
      </c>
      <c r="AH66" s="18">
        <f t="shared" ref="AH66:AI66" si="220">SUM(AH61:AH65)</f>
        <v>27262.493732999999</v>
      </c>
      <c r="AI66" s="18">
        <f t="shared" si="220"/>
        <v>0</v>
      </c>
      <c r="AJ66" s="19">
        <f t="shared" si="14"/>
        <v>27262.493732999999</v>
      </c>
      <c r="AK66" s="18">
        <f t="shared" ref="AK66:AL66" si="221">SUM(AK61:AK65)</f>
        <v>-2496.3125490000007</v>
      </c>
      <c r="AL66" s="18">
        <f t="shared" si="221"/>
        <v>0</v>
      </c>
      <c r="AM66" s="19">
        <f t="shared" si="15"/>
        <v>-2496.3125490000007</v>
      </c>
      <c r="AN66" s="18">
        <f t="shared" ref="AN66:AO66" si="222">SUM(AN61:AN65)</f>
        <v>31643.23765179632</v>
      </c>
      <c r="AO66" s="18">
        <f t="shared" si="222"/>
        <v>164067.97673378061</v>
      </c>
      <c r="AP66" s="19">
        <f t="shared" si="18"/>
        <v>-132424.7390819843</v>
      </c>
      <c r="AQ66" s="18">
        <f t="shared" ref="AQ66:AR66" si="223">SUM(AQ61:AQ65)</f>
        <v>23158.486042692813</v>
      </c>
      <c r="AR66" s="18">
        <f t="shared" si="223"/>
        <v>7399.1992335717177</v>
      </c>
      <c r="AS66" s="19">
        <f t="shared" si="19"/>
        <v>15759.286809121095</v>
      </c>
      <c r="AT66" s="18">
        <f t="shared" ref="AT66:AU66" si="224">SUM(AT61:AT65)</f>
        <v>0</v>
      </c>
      <c r="AU66" s="18">
        <f t="shared" si="224"/>
        <v>0</v>
      </c>
      <c r="AV66" s="19">
        <f t="shared" si="20"/>
        <v>0</v>
      </c>
      <c r="AW66" s="18">
        <f>SUM(AW61:AW65)</f>
        <v>8484.7516091035086</v>
      </c>
      <c r="AX66" s="18">
        <f t="shared" ref="AX66" si="225">SUM(AX61:AX65)</f>
        <v>156668.7775002089</v>
      </c>
      <c r="AY66" s="19">
        <f t="shared" si="23"/>
        <v>-148184.02589110538</v>
      </c>
      <c r="AZ66" s="18">
        <f t="shared" ref="AZ66:BA66" si="226">SUM(AZ61:AZ65)</f>
        <v>73800.748048244597</v>
      </c>
      <c r="BA66" s="18">
        <f t="shared" si="226"/>
        <v>194036.46088685724</v>
      </c>
      <c r="BB66" s="19">
        <f t="shared" si="26"/>
        <v>-120235.71283861264</v>
      </c>
      <c r="BC66" s="18">
        <f t="shared" ref="BC66:BD66" si="227">SUM(BC61:BC65)</f>
        <v>79223.668022244587</v>
      </c>
      <c r="BD66" s="18">
        <f t="shared" si="227"/>
        <v>202866.5228183959</v>
      </c>
      <c r="BE66" s="19">
        <f t="shared" si="29"/>
        <v>-123642.85479615131</v>
      </c>
      <c r="BF66" s="7"/>
    </row>
    <row r="67" spans="1:58" ht="15" customHeight="1" x14ac:dyDescent="0.3">
      <c r="A67" s="32" t="s">
        <v>98</v>
      </c>
      <c r="B67" s="3" t="s">
        <v>10</v>
      </c>
      <c r="C67" s="3" t="s">
        <v>99</v>
      </c>
      <c r="D67" s="17">
        <f t="shared" si="0"/>
        <v>451.78408594415265</v>
      </c>
      <c r="E67" s="17">
        <f t="shared" si="1"/>
        <v>567.99639773012689</v>
      </c>
      <c r="F67" s="4">
        <f t="shared" si="2"/>
        <v>-116.21231178597424</v>
      </c>
      <c r="G67" s="17">
        <v>134871.64293999999</v>
      </c>
      <c r="H67" s="17">
        <v>169564.64322059727</v>
      </c>
      <c r="I67" s="4">
        <f t="shared" si="3"/>
        <v>-34693.000280597276</v>
      </c>
      <c r="J67" s="17">
        <v>34092.536329999995</v>
      </c>
      <c r="K67" s="17">
        <v>49533.937897397293</v>
      </c>
      <c r="L67" s="4">
        <f t="shared" si="4"/>
        <v>-15441.401567397297</v>
      </c>
      <c r="M67" s="17">
        <v>125.75290999999999</v>
      </c>
      <c r="N67" s="17">
        <v>100</v>
      </c>
      <c r="O67" s="4">
        <f t="shared" si="5"/>
        <v>25.752909999999986</v>
      </c>
      <c r="P67" s="17">
        <v>13326.150800000001</v>
      </c>
      <c r="Q67" s="17">
        <v>17753.872611825645</v>
      </c>
      <c r="R67" s="4">
        <f t="shared" si="6"/>
        <v>-4427.7218118256442</v>
      </c>
      <c r="S67" s="17">
        <v>5140.6420699999999</v>
      </c>
      <c r="T67" s="17">
        <v>7923.4053567108213</v>
      </c>
      <c r="U67" s="4">
        <f t="shared" si="7"/>
        <v>-2782.7632867108214</v>
      </c>
      <c r="V67" s="17">
        <v>8277.3175100000008</v>
      </c>
      <c r="W67" s="17">
        <v>8581.5325766270962</v>
      </c>
      <c r="X67" s="4">
        <f t="shared" si="8"/>
        <v>-304.21506662709544</v>
      </c>
      <c r="Y67" s="17">
        <v>5576.0664199999992</v>
      </c>
      <c r="Z67" s="17">
        <v>3207.7999881449573</v>
      </c>
      <c r="AA67" s="4">
        <f t="shared" si="9"/>
        <v>2368.2664318550419</v>
      </c>
      <c r="AB67" s="17">
        <v>560.0328300000001</v>
      </c>
      <c r="AC67" s="17">
        <v>1279.0117277777777</v>
      </c>
      <c r="AD67" s="4">
        <f t="shared" si="10"/>
        <v>-718.97889777777755</v>
      </c>
      <c r="AE67" s="17">
        <f t="shared" si="11"/>
        <v>32880.209629999998</v>
      </c>
      <c r="AF67" s="17">
        <f t="shared" si="12"/>
        <v>38745.622261086297</v>
      </c>
      <c r="AG67" s="4">
        <f t="shared" si="13"/>
        <v>-5865.4126310862994</v>
      </c>
      <c r="AH67" s="17">
        <v>1238.258</v>
      </c>
      <c r="AI67" s="17">
        <v>0</v>
      </c>
      <c r="AJ67" s="4">
        <f t="shared" si="14"/>
        <v>1238.258</v>
      </c>
      <c r="AK67" s="17">
        <v>-90.872559999999993</v>
      </c>
      <c r="AL67" s="17">
        <v>0</v>
      </c>
      <c r="AM67" s="4">
        <f t="shared" si="15"/>
        <v>-90.872559999999993</v>
      </c>
      <c r="AN67" s="17">
        <f>J67+M67-AE67-AH67+AK67</f>
        <v>8.9490500000006534</v>
      </c>
      <c r="AO67" s="17">
        <f t="shared" si="17"/>
        <v>10888.315636310996</v>
      </c>
      <c r="AP67" s="4">
        <f t="shared" si="18"/>
        <v>-10879.366586310995</v>
      </c>
      <c r="AQ67" s="17"/>
      <c r="AR67" s="17"/>
      <c r="AS67" s="4">
        <f t="shared" si="19"/>
        <v>0</v>
      </c>
      <c r="AT67" s="17"/>
      <c r="AU67" s="17"/>
      <c r="AV67" s="4">
        <f t="shared" si="20"/>
        <v>0</v>
      </c>
      <c r="AW67" s="17">
        <f t="shared" si="21"/>
        <v>8.9490500000006534</v>
      </c>
      <c r="AX67" s="17">
        <f t="shared" si="22"/>
        <v>10888.315636310996</v>
      </c>
      <c r="AY67" s="4">
        <f t="shared" si="23"/>
        <v>-10879.366586310995</v>
      </c>
      <c r="AZ67" s="17">
        <f t="shared" si="24"/>
        <v>5585.0154700000003</v>
      </c>
      <c r="BA67" s="17">
        <f t="shared" si="25"/>
        <v>14096.115624455953</v>
      </c>
      <c r="BB67" s="4">
        <f t="shared" si="26"/>
        <v>-8511.1001544559531</v>
      </c>
      <c r="BC67" s="17">
        <f t="shared" si="27"/>
        <v>6145.0483000000004</v>
      </c>
      <c r="BD67" s="17">
        <f t="shared" si="28"/>
        <v>15375.127352233731</v>
      </c>
      <c r="BE67" s="4">
        <f t="shared" si="29"/>
        <v>-9230.0790522337302</v>
      </c>
      <c r="BF67" s="7" t="s">
        <v>100</v>
      </c>
    </row>
    <row r="68" spans="1:58" ht="15" customHeight="1" x14ac:dyDescent="0.3">
      <c r="A68" s="32"/>
      <c r="B68" s="3" t="s">
        <v>9</v>
      </c>
      <c r="C68" s="3" t="s">
        <v>101</v>
      </c>
      <c r="D68" s="17">
        <f t="shared" si="0"/>
        <v>197.97880010194478</v>
      </c>
      <c r="E68" s="17">
        <f t="shared" si="1"/>
        <v>201.98365982373446</v>
      </c>
      <c r="F68" s="4">
        <f t="shared" si="2"/>
        <v>-4.0048597217896713</v>
      </c>
      <c r="G68" s="17">
        <v>59102.847726999993</v>
      </c>
      <c r="H68" s="17">
        <v>60298.423284499317</v>
      </c>
      <c r="I68" s="4">
        <f t="shared" si="3"/>
        <v>-1195.5755574993236</v>
      </c>
      <c r="J68" s="17">
        <v>9950.2185769999851</v>
      </c>
      <c r="K68" s="17">
        <v>9101.4055142176003</v>
      </c>
      <c r="L68" s="4">
        <f t="shared" si="4"/>
        <v>848.8130627823848</v>
      </c>
      <c r="M68" s="17">
        <v>1706.0784645235631</v>
      </c>
      <c r="N68" s="17">
        <v>1777.0388070015947</v>
      </c>
      <c r="O68" s="4">
        <f t="shared" si="5"/>
        <v>-70.960342478031635</v>
      </c>
      <c r="P68" s="17">
        <v>5149.2358699999995</v>
      </c>
      <c r="Q68" s="17">
        <v>6439.6102868333364</v>
      </c>
      <c r="R68" s="4">
        <f t="shared" si="6"/>
        <v>-1290.3744168333369</v>
      </c>
      <c r="S68" s="17">
        <v>2045.2523200000003</v>
      </c>
      <c r="T68" s="17">
        <v>1875.5270386620232</v>
      </c>
      <c r="U68" s="4">
        <f t="shared" si="7"/>
        <v>169.72528133797709</v>
      </c>
      <c r="V68" s="17">
        <v>1063.69478</v>
      </c>
      <c r="W68" s="17">
        <v>1246.3340750000002</v>
      </c>
      <c r="X68" s="4">
        <f t="shared" si="8"/>
        <v>-182.63929500000017</v>
      </c>
      <c r="Y68" s="17">
        <v>1968.9420600000001</v>
      </c>
      <c r="Z68" s="17">
        <v>1683.9333333333332</v>
      </c>
      <c r="AA68" s="4">
        <f t="shared" si="9"/>
        <v>285.00872666666692</v>
      </c>
      <c r="AB68" s="17">
        <v>103.423</v>
      </c>
      <c r="AC68" s="17">
        <v>90.935000000000002</v>
      </c>
      <c r="AD68" s="4">
        <f t="shared" si="10"/>
        <v>12.488</v>
      </c>
      <c r="AE68" s="17">
        <f t="shared" si="11"/>
        <v>10330.54803</v>
      </c>
      <c r="AF68" s="17">
        <f t="shared" si="12"/>
        <v>11336.339733828692</v>
      </c>
      <c r="AG68" s="4">
        <f t="shared" si="13"/>
        <v>-1005.7917038286923</v>
      </c>
      <c r="AH68" s="17">
        <v>392.15</v>
      </c>
      <c r="AI68" s="17">
        <v>0</v>
      </c>
      <c r="AJ68" s="4">
        <f t="shared" si="14"/>
        <v>392.15</v>
      </c>
      <c r="AK68" s="17"/>
      <c r="AL68" s="17">
        <v>0</v>
      </c>
      <c r="AM68" s="4">
        <f t="shared" si="15"/>
        <v>0</v>
      </c>
      <c r="AN68" s="17">
        <f>J68+M68-AE68-AH68+AK68</f>
        <v>933.59901152354871</v>
      </c>
      <c r="AO68" s="17">
        <f t="shared" si="17"/>
        <v>-457.89541260949773</v>
      </c>
      <c r="AP68" s="4">
        <f t="shared" si="18"/>
        <v>1391.4944241330463</v>
      </c>
      <c r="AQ68" s="17"/>
      <c r="AR68" s="17"/>
      <c r="AS68" s="4">
        <f t="shared" si="19"/>
        <v>0</v>
      </c>
      <c r="AT68" s="17"/>
      <c r="AU68" s="17"/>
      <c r="AV68" s="4">
        <f t="shared" si="20"/>
        <v>0</v>
      </c>
      <c r="AW68" s="17">
        <f t="shared" si="21"/>
        <v>933.59901152354871</v>
      </c>
      <c r="AX68" s="17">
        <f t="shared" si="22"/>
        <v>-457.89541260949773</v>
      </c>
      <c r="AY68" s="4">
        <f t="shared" si="23"/>
        <v>1391.4944241330463</v>
      </c>
      <c r="AZ68" s="17">
        <f t="shared" si="24"/>
        <v>2902.5410715235489</v>
      </c>
      <c r="BA68" s="17">
        <f t="shared" si="25"/>
        <v>1226.0379207238354</v>
      </c>
      <c r="BB68" s="4">
        <f t="shared" si="26"/>
        <v>1676.5031507997135</v>
      </c>
      <c r="BC68" s="17">
        <f t="shared" si="27"/>
        <v>3005.9640715235491</v>
      </c>
      <c r="BD68" s="17">
        <f t="shared" si="28"/>
        <v>1316.9729207238354</v>
      </c>
      <c r="BE68" s="4">
        <f t="shared" si="29"/>
        <v>1688.9911507997138</v>
      </c>
      <c r="BF68" s="7" t="s">
        <v>102</v>
      </c>
    </row>
    <row r="69" spans="1:58" ht="15" customHeight="1" x14ac:dyDescent="0.3">
      <c r="A69" s="32"/>
      <c r="B69" s="3" t="s">
        <v>9</v>
      </c>
      <c r="C69" s="3" t="s">
        <v>103</v>
      </c>
      <c r="D69" s="17">
        <f t="shared" ref="D69:D73" si="228">G69/$F$1</f>
        <v>15.752858672426147</v>
      </c>
      <c r="E69" s="17">
        <f t="shared" ref="E69:E73" si="229">H69/$F$1</f>
        <v>25.558470894264989</v>
      </c>
      <c r="F69" s="4">
        <f t="shared" ref="F69:F74" si="230">D69-E69</f>
        <v>-9.8056122218388424</v>
      </c>
      <c r="G69" s="17">
        <v>4702.7197200000001</v>
      </c>
      <c r="H69" s="17">
        <v>7630.0008517117294</v>
      </c>
      <c r="I69" s="4">
        <f t="shared" ref="I69:I75" si="231">G69-H69</f>
        <v>-2927.2811317117294</v>
      </c>
      <c r="J69" s="17">
        <v>888.01274999999998</v>
      </c>
      <c r="K69" s="17">
        <v>1678.746224805926</v>
      </c>
      <c r="L69" s="4">
        <f t="shared" ref="L69:L75" si="232">J69-K69</f>
        <v>-790.73347480592599</v>
      </c>
      <c r="M69" s="17">
        <v>12.401159999999999</v>
      </c>
      <c r="N69" s="17">
        <v>0</v>
      </c>
      <c r="O69" s="4">
        <f t="shared" ref="O69:O75" si="233">M69-N69</f>
        <v>12.401159999999999</v>
      </c>
      <c r="P69" s="17">
        <v>1380.5744</v>
      </c>
      <c r="Q69" s="17">
        <v>2204.9752084203451</v>
      </c>
      <c r="R69" s="4">
        <f t="shared" ref="R69:R75" si="234">P69-Q69</f>
        <v>-824.40080842034513</v>
      </c>
      <c r="S69" s="17">
        <v>192.03529999999998</v>
      </c>
      <c r="T69" s="17">
        <v>744.70575347488057</v>
      </c>
      <c r="U69" s="4">
        <f t="shared" ref="U69:U75" si="235">S69-T69</f>
        <v>-552.67045347488056</v>
      </c>
      <c r="V69" s="17">
        <v>83.83</v>
      </c>
      <c r="W69" s="17">
        <v>445.03297026583778</v>
      </c>
      <c r="X69" s="4">
        <f t="shared" ref="X69:X75" si="236">V69-W69</f>
        <v>-361.20297026583779</v>
      </c>
      <c r="Y69" s="17">
        <v>334.16300999999999</v>
      </c>
      <c r="Z69" s="17">
        <v>355.77901027988344</v>
      </c>
      <c r="AA69" s="4">
        <f t="shared" ref="AA69:AA75" si="237">Y69-Z69</f>
        <v>-21.616000279883451</v>
      </c>
      <c r="AB69" s="17">
        <v>20.056069999999998</v>
      </c>
      <c r="AC69" s="17">
        <v>43.972751180555555</v>
      </c>
      <c r="AD69" s="4">
        <f t="shared" ref="AD69:AD75" si="238">AB69-AC69</f>
        <v>-23.916681180555557</v>
      </c>
      <c r="AE69" s="17">
        <f t="shared" ref="AE69:AE73" si="239">P69+S69+V69+Y69+AB69</f>
        <v>2010.65878</v>
      </c>
      <c r="AF69" s="17">
        <f t="shared" ref="AF69:AF73" si="240">Q69+T69+W69+Z69+AC69</f>
        <v>3794.4656936215024</v>
      </c>
      <c r="AG69" s="4">
        <f t="shared" ref="AG69:AG75" si="241">AE69-AF69</f>
        <v>-1783.8069136215024</v>
      </c>
      <c r="AH69" s="17">
        <v>0</v>
      </c>
      <c r="AI69" s="17">
        <v>0</v>
      </c>
      <c r="AJ69" s="4">
        <f t="shared" ref="AJ69:AJ75" si="242">AH69-AI69</f>
        <v>0</v>
      </c>
      <c r="AK69" s="17"/>
      <c r="AL69" s="17">
        <v>0</v>
      </c>
      <c r="AM69" s="4">
        <f t="shared" ref="AM69:AM75" si="243">AK69-AL69</f>
        <v>0</v>
      </c>
      <c r="AN69" s="17">
        <f t="shared" ref="AN69:AN73" si="244">J69+M69-AE69+AH69+AK69</f>
        <v>-1110.24487</v>
      </c>
      <c r="AO69" s="17">
        <f t="shared" ref="AO69:AO73" si="245">K69+N69-AF69+AI69+AL69</f>
        <v>-2115.7194688155764</v>
      </c>
      <c r="AP69" s="4">
        <f t="shared" ref="AP69:AP75" si="246">AN69-AO69</f>
        <v>1005.4745988155764</v>
      </c>
      <c r="AQ69" s="17"/>
      <c r="AR69" s="17"/>
      <c r="AS69" s="4">
        <f t="shared" ref="AS69:AS75" si="247">AQ69-AR69</f>
        <v>0</v>
      </c>
      <c r="AT69" s="17"/>
      <c r="AU69" s="17"/>
      <c r="AV69" s="4">
        <f t="shared" ref="AV69:AV75" si="248">AT69-AU69</f>
        <v>0</v>
      </c>
      <c r="AW69" s="17">
        <f t="shared" ref="AW69:AW73" si="249">AN69-AQ69+AT69</f>
        <v>-1110.24487</v>
      </c>
      <c r="AX69" s="17">
        <f t="shared" ref="AX69:AX73" si="250">AO69-AR69+AU69</f>
        <v>-2115.7194688155764</v>
      </c>
      <c r="AY69" s="4">
        <f t="shared" ref="AY69:AY75" si="251">AW69-AX69</f>
        <v>1005.4745988155764</v>
      </c>
      <c r="AZ69" s="17">
        <f t="shared" ref="AZ69:AZ73" si="252">AN69+Y69</f>
        <v>-776.08186000000001</v>
      </c>
      <c r="BA69" s="17">
        <f t="shared" ref="BA69:BA73" si="253">AO69+Z69</f>
        <v>-1759.9404585356929</v>
      </c>
      <c r="BB69" s="4">
        <f t="shared" ref="BB69:BB75" si="254">AZ69-BA69</f>
        <v>983.85859853569286</v>
      </c>
      <c r="BC69" s="17">
        <f t="shared" ref="BC69:BC73" si="255">AZ69+AB69</f>
        <v>-756.02579000000003</v>
      </c>
      <c r="BD69" s="17">
        <f t="shared" ref="BD69:BD73" si="256">BA69+AC69</f>
        <v>-1715.9677073551372</v>
      </c>
      <c r="BE69" s="4">
        <f t="shared" ref="BE69:BE75" si="257">BC69-BD69</f>
        <v>959.94191735513721</v>
      </c>
      <c r="BF69" s="7" t="s">
        <v>104</v>
      </c>
    </row>
    <row r="70" spans="1:58" ht="15" customHeight="1" x14ac:dyDescent="0.3">
      <c r="A70" s="32"/>
      <c r="B70" s="3" t="s">
        <v>9</v>
      </c>
      <c r="C70" s="3" t="s">
        <v>105</v>
      </c>
      <c r="D70" s="17">
        <f t="shared" si="228"/>
        <v>0</v>
      </c>
      <c r="E70" s="17">
        <f t="shared" si="229"/>
        <v>0</v>
      </c>
      <c r="F70" s="4">
        <f t="shared" si="230"/>
        <v>0</v>
      </c>
      <c r="G70" s="17">
        <v>0</v>
      </c>
      <c r="H70" s="17">
        <v>0</v>
      </c>
      <c r="I70" s="4">
        <f t="shared" si="231"/>
        <v>0</v>
      </c>
      <c r="J70" s="17">
        <v>0</v>
      </c>
      <c r="K70" s="17">
        <v>0</v>
      </c>
      <c r="L70" s="4">
        <f t="shared" si="232"/>
        <v>0</v>
      </c>
      <c r="M70" s="17">
        <v>158.48515</v>
      </c>
      <c r="N70" s="17">
        <v>158.48515</v>
      </c>
      <c r="O70" s="4">
        <f t="shared" si="233"/>
        <v>0</v>
      </c>
      <c r="P70" s="17">
        <v>0</v>
      </c>
      <c r="Q70" s="17">
        <v>0</v>
      </c>
      <c r="R70" s="4">
        <f t="shared" si="234"/>
        <v>0</v>
      </c>
      <c r="S70" s="17">
        <v>1.1335200000000005</v>
      </c>
      <c r="T70" s="17">
        <v>1.1335200000000005</v>
      </c>
      <c r="U70" s="4">
        <f t="shared" si="235"/>
        <v>0</v>
      </c>
      <c r="V70" s="17">
        <v>0</v>
      </c>
      <c r="W70" s="17">
        <v>0</v>
      </c>
      <c r="X70" s="4">
        <f t="shared" si="236"/>
        <v>0</v>
      </c>
      <c r="Y70" s="17">
        <v>0</v>
      </c>
      <c r="Z70" s="17">
        <v>0</v>
      </c>
      <c r="AA70" s="4">
        <f t="shared" si="237"/>
        <v>0</v>
      </c>
      <c r="AB70" s="17">
        <v>0</v>
      </c>
      <c r="AC70" s="17">
        <v>0</v>
      </c>
      <c r="AD70" s="4">
        <f t="shared" si="238"/>
        <v>0</v>
      </c>
      <c r="AE70" s="17">
        <f t="shared" si="239"/>
        <v>1.1335200000000005</v>
      </c>
      <c r="AF70" s="17">
        <f t="shared" si="240"/>
        <v>1.1335200000000005</v>
      </c>
      <c r="AG70" s="4">
        <f t="shared" si="241"/>
        <v>0</v>
      </c>
      <c r="AH70" s="17">
        <v>0</v>
      </c>
      <c r="AI70" s="17">
        <v>0</v>
      </c>
      <c r="AJ70" s="4">
        <f t="shared" si="242"/>
        <v>0</v>
      </c>
      <c r="AK70" s="17"/>
      <c r="AL70" s="17">
        <v>0</v>
      </c>
      <c r="AM70" s="4">
        <f t="shared" si="243"/>
        <v>0</v>
      </c>
      <c r="AN70" s="17">
        <f t="shared" si="244"/>
        <v>157.35163</v>
      </c>
      <c r="AO70" s="17">
        <f t="shared" si="245"/>
        <v>157.35163</v>
      </c>
      <c r="AP70" s="4">
        <f t="shared" si="246"/>
        <v>0</v>
      </c>
      <c r="AQ70" s="17"/>
      <c r="AR70" s="17"/>
      <c r="AS70" s="4">
        <f t="shared" si="247"/>
        <v>0</v>
      </c>
      <c r="AT70" s="17"/>
      <c r="AU70" s="17"/>
      <c r="AV70" s="4">
        <f t="shared" si="248"/>
        <v>0</v>
      </c>
      <c r="AW70" s="17">
        <f t="shared" si="249"/>
        <v>157.35163</v>
      </c>
      <c r="AX70" s="17">
        <f t="shared" si="250"/>
        <v>157.35163</v>
      </c>
      <c r="AY70" s="4">
        <f t="shared" si="251"/>
        <v>0</v>
      </c>
      <c r="AZ70" s="17">
        <f t="shared" si="252"/>
        <v>157.35163</v>
      </c>
      <c r="BA70" s="17">
        <f t="shared" si="253"/>
        <v>157.35163</v>
      </c>
      <c r="BB70" s="4">
        <f t="shared" si="254"/>
        <v>0</v>
      </c>
      <c r="BC70" s="17">
        <f t="shared" si="255"/>
        <v>157.35163</v>
      </c>
      <c r="BD70" s="17">
        <f t="shared" si="256"/>
        <v>157.35163</v>
      </c>
      <c r="BE70" s="4">
        <f t="shared" si="257"/>
        <v>0</v>
      </c>
      <c r="BF70" s="7"/>
    </row>
    <row r="71" spans="1:58" ht="15" customHeight="1" x14ac:dyDescent="0.3">
      <c r="A71" s="32"/>
      <c r="B71" s="3" t="s">
        <v>9</v>
      </c>
      <c r="C71" s="3" t="s">
        <v>106</v>
      </c>
      <c r="D71" s="17">
        <f t="shared" si="228"/>
        <v>0</v>
      </c>
      <c r="E71" s="17">
        <f t="shared" si="229"/>
        <v>0</v>
      </c>
      <c r="F71" s="4">
        <f t="shared" si="230"/>
        <v>0</v>
      </c>
      <c r="G71" s="17">
        <v>0</v>
      </c>
      <c r="H71" s="17">
        <v>0</v>
      </c>
      <c r="I71" s="4">
        <f t="shared" si="231"/>
        <v>0</v>
      </c>
      <c r="J71" s="17">
        <v>0</v>
      </c>
      <c r="K71" s="17">
        <v>0</v>
      </c>
      <c r="L71" s="4">
        <f t="shared" si="232"/>
        <v>0</v>
      </c>
      <c r="M71" s="17"/>
      <c r="N71" s="17">
        <v>0</v>
      </c>
      <c r="O71" s="4">
        <f t="shared" si="233"/>
        <v>0</v>
      </c>
      <c r="P71" s="17"/>
      <c r="Q71" s="17"/>
      <c r="R71" s="4">
        <f t="shared" si="234"/>
        <v>0</v>
      </c>
      <c r="S71" s="17"/>
      <c r="T71" s="17"/>
      <c r="U71" s="4">
        <f t="shared" si="235"/>
        <v>0</v>
      </c>
      <c r="V71" s="17"/>
      <c r="W71" s="17"/>
      <c r="X71" s="4">
        <f t="shared" si="236"/>
        <v>0</v>
      </c>
      <c r="Y71" s="17"/>
      <c r="Z71" s="17"/>
      <c r="AA71" s="4">
        <f t="shared" si="237"/>
        <v>0</v>
      </c>
      <c r="AB71" s="17"/>
      <c r="AC71" s="17"/>
      <c r="AD71" s="4">
        <f t="shared" si="238"/>
        <v>0</v>
      </c>
      <c r="AE71" s="17">
        <f t="shared" si="239"/>
        <v>0</v>
      </c>
      <c r="AF71" s="17">
        <f t="shared" si="240"/>
        <v>0</v>
      </c>
      <c r="AG71" s="4">
        <f t="shared" si="241"/>
        <v>0</v>
      </c>
      <c r="AH71" s="17"/>
      <c r="AI71" s="17"/>
      <c r="AJ71" s="4">
        <f t="shared" si="242"/>
        <v>0</v>
      </c>
      <c r="AK71" s="17"/>
      <c r="AL71" s="17"/>
      <c r="AM71" s="4">
        <f t="shared" si="243"/>
        <v>0</v>
      </c>
      <c r="AN71" s="17">
        <f t="shared" si="244"/>
        <v>0</v>
      </c>
      <c r="AO71" s="17">
        <f t="shared" si="245"/>
        <v>0</v>
      </c>
      <c r="AP71" s="4">
        <f t="shared" si="246"/>
        <v>0</v>
      </c>
      <c r="AQ71" s="17"/>
      <c r="AR71" s="17"/>
      <c r="AS71" s="4">
        <f t="shared" si="247"/>
        <v>0</v>
      </c>
      <c r="AT71" s="17"/>
      <c r="AU71" s="17"/>
      <c r="AV71" s="4">
        <f t="shared" si="248"/>
        <v>0</v>
      </c>
      <c r="AW71" s="17">
        <f t="shared" si="249"/>
        <v>0</v>
      </c>
      <c r="AX71" s="17">
        <f t="shared" si="250"/>
        <v>0</v>
      </c>
      <c r="AY71" s="4">
        <f t="shared" si="251"/>
        <v>0</v>
      </c>
      <c r="AZ71" s="17">
        <f t="shared" si="252"/>
        <v>0</v>
      </c>
      <c r="BA71" s="17">
        <f t="shared" si="253"/>
        <v>0</v>
      </c>
      <c r="BB71" s="4">
        <f t="shared" si="254"/>
        <v>0</v>
      </c>
      <c r="BC71" s="17">
        <f t="shared" si="255"/>
        <v>0</v>
      </c>
      <c r="BD71" s="17">
        <f t="shared" si="256"/>
        <v>0</v>
      </c>
      <c r="BE71" s="4">
        <f t="shared" si="257"/>
        <v>0</v>
      </c>
      <c r="BF71" s="7" t="s">
        <v>107</v>
      </c>
    </row>
    <row r="72" spans="1:58" ht="15" customHeight="1" x14ac:dyDescent="0.3">
      <c r="A72" s="32"/>
      <c r="B72" s="3" t="s">
        <v>9</v>
      </c>
      <c r="C72" s="3" t="s">
        <v>108</v>
      </c>
      <c r="D72" s="17">
        <f t="shared" si="228"/>
        <v>0</v>
      </c>
      <c r="E72" s="17">
        <f t="shared" si="229"/>
        <v>0</v>
      </c>
      <c r="F72" s="4">
        <f t="shared" si="230"/>
        <v>0</v>
      </c>
      <c r="G72" s="17"/>
      <c r="H72" s="17"/>
      <c r="I72" s="4">
        <f t="shared" si="231"/>
        <v>0</v>
      </c>
      <c r="J72" s="17"/>
      <c r="K72" s="17"/>
      <c r="L72" s="4">
        <f t="shared" si="232"/>
        <v>0</v>
      </c>
      <c r="M72" s="17">
        <v>0</v>
      </c>
      <c r="N72" s="17">
        <v>0</v>
      </c>
      <c r="O72" s="4">
        <f t="shared" si="233"/>
        <v>0</v>
      </c>
      <c r="P72" s="17">
        <v>0</v>
      </c>
      <c r="Q72" s="17">
        <v>0</v>
      </c>
      <c r="R72" s="4">
        <f t="shared" si="234"/>
        <v>0</v>
      </c>
      <c r="S72" s="17">
        <v>0</v>
      </c>
      <c r="T72" s="17">
        <v>0</v>
      </c>
      <c r="U72" s="4">
        <f t="shared" si="235"/>
        <v>0</v>
      </c>
      <c r="V72" s="17">
        <v>0</v>
      </c>
      <c r="W72" s="17">
        <v>0</v>
      </c>
      <c r="X72" s="4">
        <f t="shared" si="236"/>
        <v>0</v>
      </c>
      <c r="Y72" s="17">
        <v>0</v>
      </c>
      <c r="Z72" s="17">
        <v>0</v>
      </c>
      <c r="AA72" s="4">
        <f t="shared" si="237"/>
        <v>0</v>
      </c>
      <c r="AB72" s="17">
        <v>0</v>
      </c>
      <c r="AC72" s="17">
        <v>0</v>
      </c>
      <c r="AD72" s="4">
        <f t="shared" si="238"/>
        <v>0</v>
      </c>
      <c r="AE72" s="17">
        <f t="shared" si="239"/>
        <v>0</v>
      </c>
      <c r="AF72" s="17">
        <f t="shared" si="240"/>
        <v>0</v>
      </c>
      <c r="AG72" s="4">
        <f t="shared" si="241"/>
        <v>0</v>
      </c>
      <c r="AH72" s="17">
        <v>0</v>
      </c>
      <c r="AI72" s="17">
        <v>0</v>
      </c>
      <c r="AJ72" s="4">
        <f t="shared" si="242"/>
        <v>0</v>
      </c>
      <c r="AK72" s="17"/>
      <c r="AL72" s="17">
        <v>0</v>
      </c>
      <c r="AM72" s="4">
        <f t="shared" si="243"/>
        <v>0</v>
      </c>
      <c r="AN72" s="17">
        <f t="shared" si="244"/>
        <v>0</v>
      </c>
      <c r="AO72" s="17">
        <f t="shared" si="245"/>
        <v>0</v>
      </c>
      <c r="AP72" s="4">
        <f t="shared" si="246"/>
        <v>0</v>
      </c>
      <c r="AQ72" s="17"/>
      <c r="AR72" s="17"/>
      <c r="AS72" s="4">
        <f t="shared" si="247"/>
        <v>0</v>
      </c>
      <c r="AT72" s="17"/>
      <c r="AU72" s="17"/>
      <c r="AV72" s="4">
        <f t="shared" si="248"/>
        <v>0</v>
      </c>
      <c r="AW72" s="17">
        <f t="shared" si="249"/>
        <v>0</v>
      </c>
      <c r="AX72" s="17">
        <f t="shared" si="250"/>
        <v>0</v>
      </c>
      <c r="AY72" s="4">
        <f t="shared" si="251"/>
        <v>0</v>
      </c>
      <c r="AZ72" s="17">
        <f t="shared" si="252"/>
        <v>0</v>
      </c>
      <c r="BA72" s="17">
        <f t="shared" si="253"/>
        <v>0</v>
      </c>
      <c r="BB72" s="4">
        <f t="shared" si="254"/>
        <v>0</v>
      </c>
      <c r="BC72" s="17">
        <f t="shared" si="255"/>
        <v>0</v>
      </c>
      <c r="BD72" s="17">
        <f t="shared" si="256"/>
        <v>0</v>
      </c>
      <c r="BE72" s="4">
        <f t="shared" si="257"/>
        <v>0</v>
      </c>
      <c r="BF72" s="7" t="s">
        <v>109</v>
      </c>
    </row>
    <row r="73" spans="1:58" ht="15" customHeight="1" x14ac:dyDescent="0.3">
      <c r="A73" s="32"/>
      <c r="B73" s="3" t="s">
        <v>9</v>
      </c>
      <c r="C73" s="13" t="s">
        <v>110</v>
      </c>
      <c r="D73" s="17">
        <f t="shared" si="228"/>
        <v>0</v>
      </c>
      <c r="E73" s="17">
        <f t="shared" si="229"/>
        <v>0</v>
      </c>
      <c r="F73" s="4">
        <f t="shared" si="230"/>
        <v>0</v>
      </c>
      <c r="G73" s="17"/>
      <c r="H73" s="17"/>
      <c r="I73" s="4">
        <f t="shared" si="231"/>
        <v>0</v>
      </c>
      <c r="J73" s="17"/>
      <c r="K73" s="17"/>
      <c r="L73" s="4">
        <f t="shared" si="232"/>
        <v>0</v>
      </c>
      <c r="M73" s="17"/>
      <c r="N73" s="17"/>
      <c r="O73" s="4">
        <f t="shared" si="233"/>
        <v>0</v>
      </c>
      <c r="P73" s="17"/>
      <c r="Q73" s="17"/>
      <c r="R73" s="4">
        <f t="shared" si="234"/>
        <v>0</v>
      </c>
      <c r="S73" s="17"/>
      <c r="T73" s="17"/>
      <c r="U73" s="4">
        <f t="shared" si="235"/>
        <v>0</v>
      </c>
      <c r="V73" s="17"/>
      <c r="W73" s="17"/>
      <c r="X73" s="4">
        <f t="shared" si="236"/>
        <v>0</v>
      </c>
      <c r="Y73" s="17"/>
      <c r="Z73" s="17"/>
      <c r="AA73" s="4">
        <f t="shared" si="237"/>
        <v>0</v>
      </c>
      <c r="AB73" s="17"/>
      <c r="AC73" s="17"/>
      <c r="AD73" s="4">
        <f t="shared" si="238"/>
        <v>0</v>
      </c>
      <c r="AE73" s="17">
        <f t="shared" si="239"/>
        <v>0</v>
      </c>
      <c r="AF73" s="17">
        <f t="shared" si="240"/>
        <v>0</v>
      </c>
      <c r="AG73" s="4">
        <f t="shared" si="241"/>
        <v>0</v>
      </c>
      <c r="AH73" s="17"/>
      <c r="AI73" s="17"/>
      <c r="AJ73" s="4">
        <f t="shared" si="242"/>
        <v>0</v>
      </c>
      <c r="AK73" s="17"/>
      <c r="AL73" s="17"/>
      <c r="AM73" s="4">
        <f t="shared" si="243"/>
        <v>0</v>
      </c>
      <c r="AN73" s="17">
        <f t="shared" si="244"/>
        <v>0</v>
      </c>
      <c r="AO73" s="17">
        <f t="shared" si="245"/>
        <v>0</v>
      </c>
      <c r="AP73" s="4">
        <f t="shared" si="246"/>
        <v>0</v>
      </c>
      <c r="AQ73" s="17"/>
      <c r="AR73" s="17"/>
      <c r="AS73" s="4">
        <f t="shared" si="247"/>
        <v>0</v>
      </c>
      <c r="AT73" s="17"/>
      <c r="AU73" s="17"/>
      <c r="AV73" s="4">
        <f t="shared" si="248"/>
        <v>0</v>
      </c>
      <c r="AW73" s="17">
        <f t="shared" si="249"/>
        <v>0</v>
      </c>
      <c r="AX73" s="17">
        <f t="shared" si="250"/>
        <v>0</v>
      </c>
      <c r="AY73" s="4">
        <f t="shared" si="251"/>
        <v>0</v>
      </c>
      <c r="AZ73" s="17">
        <f t="shared" si="252"/>
        <v>0</v>
      </c>
      <c r="BA73" s="17">
        <f t="shared" si="253"/>
        <v>0</v>
      </c>
      <c r="BB73" s="4">
        <f t="shared" si="254"/>
        <v>0</v>
      </c>
      <c r="BC73" s="17">
        <f t="shared" si="255"/>
        <v>0</v>
      </c>
      <c r="BD73" s="17">
        <f t="shared" si="256"/>
        <v>0</v>
      </c>
      <c r="BE73" s="4">
        <f t="shared" si="257"/>
        <v>0</v>
      </c>
      <c r="BF73" s="7" t="s">
        <v>111</v>
      </c>
    </row>
    <row r="74" spans="1:58" s="20" customFormat="1" ht="15" customHeight="1" x14ac:dyDescent="0.3">
      <c r="A74" s="29" t="s">
        <v>11</v>
      </c>
      <c r="B74" s="30"/>
      <c r="C74" s="31"/>
      <c r="D74" s="18">
        <f>SUM(D67:D73)</f>
        <v>665.51574471852359</v>
      </c>
      <c r="E74" s="18">
        <f>SUM(E67:E73)</f>
        <v>795.53852844812639</v>
      </c>
      <c r="F74" s="19">
        <f t="shared" si="230"/>
        <v>-130.02278372960279</v>
      </c>
      <c r="G74" s="18">
        <f t="shared" ref="G74:H74" si="258">SUM(G67:G73)</f>
        <v>198677.21038699997</v>
      </c>
      <c r="H74" s="18">
        <f t="shared" si="258"/>
        <v>237493.06735680831</v>
      </c>
      <c r="I74" s="19">
        <f t="shared" si="231"/>
        <v>-38815.856969808345</v>
      </c>
      <c r="J74" s="18">
        <f t="shared" ref="J74:K74" si="259">SUM(J67:J73)</f>
        <v>44930.767656999982</v>
      </c>
      <c r="K74" s="18">
        <f t="shared" si="259"/>
        <v>60314.089636420817</v>
      </c>
      <c r="L74" s="19">
        <f t="shared" si="232"/>
        <v>-15383.321979420834</v>
      </c>
      <c r="M74" s="18">
        <f t="shared" ref="M74:N74" si="260">SUM(M67:M73)</f>
        <v>2002.7176845235629</v>
      </c>
      <c r="N74" s="18">
        <f t="shared" si="260"/>
        <v>2035.5239570015947</v>
      </c>
      <c r="O74" s="19">
        <f t="shared" si="233"/>
        <v>-32.806272478031815</v>
      </c>
      <c r="P74" s="18">
        <f t="shared" ref="P74:Q74" si="261">SUM(P67:P73)</f>
        <v>19855.961070000001</v>
      </c>
      <c r="Q74" s="18">
        <f t="shared" si="261"/>
        <v>26398.458107079328</v>
      </c>
      <c r="R74" s="19">
        <f t="shared" si="234"/>
        <v>-6542.4970370793271</v>
      </c>
      <c r="S74" s="18">
        <f t="shared" ref="S74:T74" si="262">SUM(S67:S73)</f>
        <v>7379.0632100000003</v>
      </c>
      <c r="T74" s="18">
        <f t="shared" si="262"/>
        <v>10544.771668847725</v>
      </c>
      <c r="U74" s="19">
        <f t="shared" si="235"/>
        <v>-3165.7084588477246</v>
      </c>
      <c r="V74" s="18">
        <f t="shared" ref="V74:W74" si="263">SUM(V67:V73)</f>
        <v>9424.8422900000005</v>
      </c>
      <c r="W74" s="18">
        <f t="shared" si="263"/>
        <v>10272.899621892935</v>
      </c>
      <c r="X74" s="19">
        <f t="shared" si="236"/>
        <v>-848.0573318929346</v>
      </c>
      <c r="Y74" s="18">
        <f t="shared" ref="Y74:Z74" si="264">SUM(Y67:Y73)</f>
        <v>7879.1714899999997</v>
      </c>
      <c r="Z74" s="18">
        <f t="shared" si="264"/>
        <v>5247.5123317581738</v>
      </c>
      <c r="AA74" s="19">
        <f t="shared" si="237"/>
        <v>2631.6591582418259</v>
      </c>
      <c r="AB74" s="18">
        <f t="shared" ref="AB74:AC74" si="265">SUM(AB67:AB73)</f>
        <v>683.51190000000008</v>
      </c>
      <c r="AC74" s="18">
        <f t="shared" si="265"/>
        <v>1413.9194789583332</v>
      </c>
      <c r="AD74" s="19">
        <f t="shared" si="238"/>
        <v>-730.40757895833315</v>
      </c>
      <c r="AE74" s="18">
        <f t="shared" ref="AE74:AF74" si="266">SUM(AE67:AE73)</f>
        <v>45222.549959999997</v>
      </c>
      <c r="AF74" s="18">
        <f t="shared" si="266"/>
        <v>53877.561208536499</v>
      </c>
      <c r="AG74" s="19">
        <f t="shared" si="241"/>
        <v>-8655.0112485365025</v>
      </c>
      <c r="AH74" s="18">
        <f t="shared" ref="AH74:AI74" si="267">SUM(AH67:AH73)</f>
        <v>1630.4079999999999</v>
      </c>
      <c r="AI74" s="18">
        <f t="shared" si="267"/>
        <v>0</v>
      </c>
      <c r="AJ74" s="19">
        <f t="shared" si="242"/>
        <v>1630.4079999999999</v>
      </c>
      <c r="AK74" s="18">
        <f t="shared" ref="AK74:AL74" si="268">SUM(AK67:AK73)</f>
        <v>-90.872559999999993</v>
      </c>
      <c r="AL74" s="18">
        <f t="shared" si="268"/>
        <v>0</v>
      </c>
      <c r="AM74" s="19">
        <f t="shared" si="243"/>
        <v>-90.872559999999993</v>
      </c>
      <c r="AN74" s="18">
        <f t="shared" ref="AN74:AO74" si="269">SUM(AN67:AN73)</f>
        <v>-10.345178476450656</v>
      </c>
      <c r="AO74" s="18">
        <f t="shared" si="269"/>
        <v>8472.0523848859211</v>
      </c>
      <c r="AP74" s="19">
        <f t="shared" si="246"/>
        <v>-8482.3975633623722</v>
      </c>
      <c r="AQ74" s="18">
        <f t="shared" ref="AQ74:AR74" si="270">SUM(AQ67:AQ73)</f>
        <v>0</v>
      </c>
      <c r="AR74" s="18">
        <f t="shared" si="270"/>
        <v>0</v>
      </c>
      <c r="AS74" s="19">
        <f t="shared" si="247"/>
        <v>0</v>
      </c>
      <c r="AT74" s="18">
        <f t="shared" ref="AT74:AU74" si="271">SUM(AT67:AT73)</f>
        <v>0</v>
      </c>
      <c r="AU74" s="18">
        <f t="shared" si="271"/>
        <v>0</v>
      </c>
      <c r="AV74" s="19">
        <f t="shared" si="248"/>
        <v>0</v>
      </c>
      <c r="AW74" s="18">
        <f>SUM(AW67:AW73)</f>
        <v>-10.345178476450656</v>
      </c>
      <c r="AX74" s="18">
        <f t="shared" ref="AX74" si="272">SUM(AX67:AX73)</f>
        <v>8472.0523848859211</v>
      </c>
      <c r="AY74" s="19">
        <f t="shared" si="251"/>
        <v>-8482.3975633623722</v>
      </c>
      <c r="AZ74" s="18">
        <f t="shared" ref="AZ74:BA74" si="273">SUM(AZ67:AZ73)</f>
        <v>7868.8263115235486</v>
      </c>
      <c r="BA74" s="18">
        <f t="shared" si="273"/>
        <v>13719.564716644094</v>
      </c>
      <c r="BB74" s="19">
        <f t="shared" si="254"/>
        <v>-5850.7384051205454</v>
      </c>
      <c r="BC74" s="18">
        <f t="shared" ref="BC74:BD74" si="274">SUM(BC67:BC73)</f>
        <v>8552.338211523549</v>
      </c>
      <c r="BD74" s="18">
        <f t="shared" si="274"/>
        <v>15133.484195602428</v>
      </c>
      <c r="BE74" s="19">
        <f t="shared" si="257"/>
        <v>-6581.1459840788793</v>
      </c>
      <c r="BF74" s="7"/>
    </row>
    <row r="75" spans="1:58" s="20" customFormat="1" ht="15" customHeight="1" x14ac:dyDescent="0.3">
      <c r="A75" s="29" t="s">
        <v>114</v>
      </c>
      <c r="B75" s="30"/>
      <c r="C75" s="31"/>
      <c r="D75" s="18">
        <f>D8+D18+D25+D31+D34+D41+D43+D52+D55+D60+D66+D74</f>
        <v>16136.276793590929</v>
      </c>
      <c r="E75" s="18">
        <f>E8+E18+E25+E31+E34+E41+E43+E52+E55+E60+E66+E74</f>
        <v>19482.607023674151</v>
      </c>
      <c r="F75" s="19">
        <f>D75-E75</f>
        <v>-3346.330230083222</v>
      </c>
      <c r="G75" s="18">
        <f>G8+G18+G25+G31+G34+G41+G43+G52+G55+G60+G66+G74</f>
        <v>4817181.9897950776</v>
      </c>
      <c r="H75" s="18">
        <f>H8+H18+H25+H31+H34+H41+H43+H52+H55+H60+H66+H74</f>
        <v>5816165.9513658322</v>
      </c>
      <c r="I75" s="19">
        <f t="shared" si="231"/>
        <v>-998983.96157075465</v>
      </c>
      <c r="J75" s="18">
        <f>J8+J18+J25+J31+J34+J41+J43+J52+J55+J60+J66+J74</f>
        <v>1173090.5012328092</v>
      </c>
      <c r="K75" s="18">
        <f>K8+K18+K25+K31+K34+K41+K43+K52+K55+K60+K66+K74</f>
        <v>1400860.7867026362</v>
      </c>
      <c r="L75" s="19">
        <f t="shared" si="232"/>
        <v>-227770.28546982701</v>
      </c>
      <c r="M75" s="18">
        <f>M8+M18+M25+M31+M34+M41+M43+M52+M55+M60+M66+M74</f>
        <v>23400.602505681189</v>
      </c>
      <c r="N75" s="18">
        <f>N8+N18+N25+N31+N34+N41+N43+N52+N55+N60+N66+N74</f>
        <v>8744.6831869639536</v>
      </c>
      <c r="O75" s="19">
        <f t="shared" si="233"/>
        <v>14655.919318717235</v>
      </c>
      <c r="P75" s="18">
        <f>P8+P18+P25+P31+P34+P41+P43+P52+P55+P60+P66+P74</f>
        <v>410835.85449301085</v>
      </c>
      <c r="Q75" s="18">
        <f>Q8+Q18+Q25+Q31+Q34+Q41+Q43+Q52+Q55+Q60+Q66+Q74</f>
        <v>474807.96880123625</v>
      </c>
      <c r="R75" s="19">
        <f t="shared" si="234"/>
        <v>-63972.114308225398</v>
      </c>
      <c r="S75" s="18">
        <f>S8+S18+S25+S31+S34+S41+S43+S52+S55+S60+S66+S74</f>
        <v>275988.19563070848</v>
      </c>
      <c r="T75" s="18">
        <f>T8+T18+T25+T31+T34+T41+T43+T52+T55+T60+T66+T74</f>
        <v>292555.87498567934</v>
      </c>
      <c r="U75" s="19">
        <f t="shared" si="235"/>
        <v>-16567.679354970867</v>
      </c>
      <c r="V75" s="18">
        <f>V8+V18+V25+V31+V34+V41+V43+V52+V55+V60+V66+V74</f>
        <v>82880.116038950684</v>
      </c>
      <c r="W75" s="18">
        <f>W8+W18+W25+W31+W34+W41+W43+W52+W55+W60+W66+W74</f>
        <v>102582.07192178667</v>
      </c>
      <c r="X75" s="19">
        <f t="shared" si="236"/>
        <v>-19701.955882835988</v>
      </c>
      <c r="Y75" s="18">
        <f>Y8+Y18+Y25+Y31+Y34+Y41+Y43+Y52+Y55+Y60+Y66+Y74</f>
        <v>90800.043655002271</v>
      </c>
      <c r="Z75" s="18">
        <f>Z8+Z18+Z25+Z31+Z34+Z41+Z43+Z52+Z55+Z60+Z66+Z74</f>
        <v>81336.546036495958</v>
      </c>
      <c r="AA75" s="19">
        <f t="shared" si="237"/>
        <v>9463.4976185063133</v>
      </c>
      <c r="AB75" s="18">
        <f>AB8+AB18+AB25+AB31+AB34+AB41+AB43+AB52+AB55+AB60+AB66+AB74</f>
        <v>39533.153902951577</v>
      </c>
      <c r="AC75" s="18">
        <f>AC8+AC18+AC25+AC31+AC34+AC41+AC43+AC52+AC55+AC60+AC66+AC74</f>
        <v>47085.984131536643</v>
      </c>
      <c r="AD75" s="19">
        <f t="shared" si="238"/>
        <v>-7552.8302285850659</v>
      </c>
      <c r="AE75" s="18">
        <f>AE8+AE18+AE25+AE31+AE34+AE41+AE43+AE52+AE55+AE60+AE66+AE74</f>
        <v>897541.05117162399</v>
      </c>
      <c r="AF75" s="18">
        <f>AF8+AF18+AF25+AF31+AF34+AF41+AF43+AF52+AF55+AF60+AF66+AF74</f>
        <v>998368.44587673491</v>
      </c>
      <c r="AG75" s="19">
        <f t="shared" si="241"/>
        <v>-100827.39470511093</v>
      </c>
      <c r="AH75" s="18">
        <f>AH8+AH18+AH25+AH31+AH34+AH41+AH43+AH52+AH55+AH60+AH66+AH74</f>
        <v>27342.313732999999</v>
      </c>
      <c r="AI75" s="18">
        <f>AI8+AI18+AI25+AI31+AI34+AI41+AI43+AI52+AI55+AI60+AI66+AI74</f>
        <v>294.267</v>
      </c>
      <c r="AJ75" s="19">
        <f t="shared" si="242"/>
        <v>27048.046732999999</v>
      </c>
      <c r="AK75" s="18">
        <f>AK8+AK18+AK25+AK31+AK34+AK41+AK43+AK52+AK55+AK60+AK66+AK74</f>
        <v>-5598.5434990000003</v>
      </c>
      <c r="AL75" s="18">
        <f>AL8+AL18+AL25+AL31+AL34+AL41+AL43+AL52+AL55+AL60+AL66+AL74</f>
        <v>0</v>
      </c>
      <c r="AM75" s="19">
        <f t="shared" si="243"/>
        <v>-5598.5434990000003</v>
      </c>
      <c r="AN75" s="18">
        <f>AN8+AN18+AN25+AN31+AN34+AN41+AN43+AN52+AN55+AN60+AN66+AN74</f>
        <v>268505.50788386667</v>
      </c>
      <c r="AO75" s="18">
        <f>AO8+AO18+AO25+AO31+AO34+AO41+AO43+AO52+AO55+AO60+AO66+AO74</f>
        <v>410942.7570128651</v>
      </c>
      <c r="AP75" s="19">
        <f t="shared" si="246"/>
        <v>-142437.24912899843</v>
      </c>
      <c r="AQ75" s="18">
        <f>AQ8+AQ18+AQ25+AQ31+AQ34+AQ41+AQ43+AQ52+AQ55+AQ60+AQ66+AQ74</f>
        <v>44744.562429255311</v>
      </c>
      <c r="AR75" s="18">
        <f>AR8+AR18+AR25+AR31+AR34+AR41+AR43+AR52+AR55+AR60+AR66+AR74</f>
        <v>17380.398517035708</v>
      </c>
      <c r="AS75" s="19">
        <f t="shared" si="247"/>
        <v>27364.163912219603</v>
      </c>
      <c r="AT75" s="18">
        <f>AT8+AT18+AT25+AT31+AT34+AT41+AT43+AT52+AT55+AT60+AT66+AT74</f>
        <v>0</v>
      </c>
      <c r="AU75" s="18">
        <f>AU8+AU18+AU25+AU31+AU34+AU41+AU43+AU52+AU55+AU60+AU66+AU74</f>
        <v>0</v>
      </c>
      <c r="AV75" s="19">
        <f t="shared" si="248"/>
        <v>0</v>
      </c>
      <c r="AW75" s="18">
        <f>AW8+AW18+AW25+AW31+AW34+AW41+AW43+AW52+AW55+AW60+AW66+AW74</f>
        <v>223760.94545461138</v>
      </c>
      <c r="AX75" s="18">
        <f>AX8+AX18+AX25+AX31+AX34+AX41+AX43+AX52+AX55+AX60+AX66+AX74</f>
        <v>393562.35849582939</v>
      </c>
      <c r="AY75" s="19">
        <f t="shared" si="251"/>
        <v>-169801.41304121801</v>
      </c>
      <c r="AZ75" s="18">
        <f>AZ8+AZ18+AZ25+AZ31+AZ34+AZ41+AZ43+AZ52+AZ55+AZ60+AZ66+AZ74</f>
        <v>359305.55153886892</v>
      </c>
      <c r="BA75" s="18">
        <f>BA8+BA18+BA25+BA31+BA34+BA41+BA43+BA52+BA55+BA60+BA66+BA74</f>
        <v>492279.3030493611</v>
      </c>
      <c r="BB75" s="19">
        <f t="shared" si="254"/>
        <v>-132973.75151049218</v>
      </c>
      <c r="BC75" s="18">
        <f>BC8+BC18+BC25+BC31+BC34+BC41+BC43+BC52+BC55+BC60+BC66+BC74</f>
        <v>398838.70544182049</v>
      </c>
      <c r="BD75" s="18">
        <f>BD8+BD18+BD25+BD31+BD34+BD41+BD43+BD52+BD55+BD60+BD66+BD74</f>
        <v>539365.2871808979</v>
      </c>
      <c r="BE75" s="19">
        <f t="shared" si="257"/>
        <v>-140526.5817390774</v>
      </c>
      <c r="BF75" s="7"/>
    </row>
    <row r="77" spans="1:58" ht="15" customHeight="1" x14ac:dyDescent="0.3">
      <c r="AN77" s="26">
        <f>AN75/AO75</f>
        <v>0.65338907500311716</v>
      </c>
    </row>
  </sheetData>
  <autoFilter ref="A3:BF75" xr:uid="{4D3ADB49-0C9D-4EF0-AAAB-C35FB9D624AD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  <filterColumn colId="27" showButton="0"/>
    <filterColumn colId="28" showButton="0"/>
    <filterColumn colId="30" showButton="0"/>
    <filterColumn colId="31" showButton="0"/>
    <filterColumn colId="33" showButton="0"/>
    <filterColumn colId="34" showButton="0"/>
    <filterColumn colId="36" showButton="0"/>
    <filterColumn colId="37" showButton="0"/>
    <filterColumn colId="39" showButton="0"/>
    <filterColumn colId="40" showButton="0"/>
    <filterColumn colId="42" showButton="0"/>
    <filterColumn colId="43" showButton="0"/>
    <filterColumn colId="45" showButton="0"/>
    <filterColumn colId="46" showButton="0"/>
    <filterColumn colId="48" showButton="0"/>
    <filterColumn colId="49" showButton="0"/>
    <filterColumn colId="51" showButton="0"/>
    <filterColumn colId="52" showButton="0"/>
    <filterColumn colId="54" showButton="0"/>
    <filterColumn colId="55" showButton="0"/>
  </autoFilter>
  <mergeCells count="45">
    <mergeCell ref="A9:A17"/>
    <mergeCell ref="A1:C1"/>
    <mergeCell ref="A3:A7"/>
    <mergeCell ref="B3:B4"/>
    <mergeCell ref="C3:C4"/>
    <mergeCell ref="A8:C8"/>
    <mergeCell ref="A52:C52"/>
    <mergeCell ref="A18:C18"/>
    <mergeCell ref="A19:A24"/>
    <mergeCell ref="A25:C25"/>
    <mergeCell ref="A26:A30"/>
    <mergeCell ref="A31:C31"/>
    <mergeCell ref="A32:A33"/>
    <mergeCell ref="A74:C74"/>
    <mergeCell ref="D3:F3"/>
    <mergeCell ref="G3:I3"/>
    <mergeCell ref="J3:L3"/>
    <mergeCell ref="M3:O3"/>
    <mergeCell ref="A53:A54"/>
    <mergeCell ref="A55:C55"/>
    <mergeCell ref="A56:A59"/>
    <mergeCell ref="A60:C60"/>
    <mergeCell ref="A61:A65"/>
    <mergeCell ref="A66:C66"/>
    <mergeCell ref="A34:C34"/>
    <mergeCell ref="A35:A40"/>
    <mergeCell ref="A41:C41"/>
    <mergeCell ref="A43:C43"/>
    <mergeCell ref="A44:A51"/>
    <mergeCell ref="AZ3:BB3"/>
    <mergeCell ref="BC3:BE3"/>
    <mergeCell ref="A75:C75"/>
    <mergeCell ref="AH3:AJ3"/>
    <mergeCell ref="AK3:AM3"/>
    <mergeCell ref="AN3:AP3"/>
    <mergeCell ref="AQ3:AS3"/>
    <mergeCell ref="AT3:AV3"/>
    <mergeCell ref="AW3:AY3"/>
    <mergeCell ref="P3:R3"/>
    <mergeCell ref="S3:U3"/>
    <mergeCell ref="V3:X3"/>
    <mergeCell ref="Y3:AA3"/>
    <mergeCell ref="AB3:AD3"/>
    <mergeCell ref="AE3:AG3"/>
    <mergeCell ref="A67:A73"/>
  </mergeCells>
  <phoneticPr fontId="5" type="noConversion"/>
  <pageMargins left="0.7" right="0.7" top="0.75" bottom="0.75" header="0.3" footer="0.3"/>
  <ignoredErrors>
    <ignoredError sqref="D8:E8 D66:E73 D18:E18 E74 AN31:AO3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9" id="{829E8960-DDC6-4730-9C56-DF38489C0E0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F8</xm:sqref>
        </x14:conditionalFormatting>
        <x14:conditionalFormatting xmlns:xm="http://schemas.microsoft.com/office/excel/2006/main">
          <x14:cfRule type="iconSet" priority="37" id="{C41FA13E-395E-4CBC-BA1C-DE6DF32D0D8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F18</xm:sqref>
        </x14:conditionalFormatting>
        <x14:conditionalFormatting xmlns:xm="http://schemas.microsoft.com/office/excel/2006/main">
          <x14:cfRule type="iconSet" priority="35" id="{AA85CB5D-2678-48FD-AC51-DA8C524F9DB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F25</xm:sqref>
        </x14:conditionalFormatting>
        <x14:conditionalFormatting xmlns:xm="http://schemas.microsoft.com/office/excel/2006/main">
          <x14:cfRule type="iconSet" priority="57" id="{8479C2BA-67AE-4C7D-BC79-E7DC9547A2D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F26:F30 F5:F7 F9:F17 F19:F24 F32:F33 F35:F40 F42 F44:F60 F62:F75</xm:sqref>
        </x14:conditionalFormatting>
        <x14:conditionalFormatting xmlns:xm="http://schemas.microsoft.com/office/excel/2006/main">
          <x14:cfRule type="iconSet" priority="30" id="{16F5A032-6FF8-4594-9FAA-4368184339B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F31</xm:sqref>
        </x14:conditionalFormatting>
        <x14:conditionalFormatting xmlns:xm="http://schemas.microsoft.com/office/excel/2006/main">
          <x14:cfRule type="iconSet" priority="27" id="{269A2A53-1D0D-47A8-A925-59F1AD17766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F34</xm:sqref>
        </x14:conditionalFormatting>
        <x14:conditionalFormatting xmlns:xm="http://schemas.microsoft.com/office/excel/2006/main">
          <x14:cfRule type="iconSet" priority="25" id="{1BE6B6EA-E569-4E3C-B79D-090D3B50661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F41</xm:sqref>
        </x14:conditionalFormatting>
        <x14:conditionalFormatting xmlns:xm="http://schemas.microsoft.com/office/excel/2006/main">
          <x14:cfRule type="iconSet" priority="23" id="{D9898F76-C8A9-4F2B-A165-9463A7167F7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F43</xm:sqref>
        </x14:conditionalFormatting>
        <x14:conditionalFormatting xmlns:xm="http://schemas.microsoft.com/office/excel/2006/main">
          <x14:cfRule type="iconSet" priority="18" id="{0E98E506-E452-4413-91EC-709368FD6DC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F61</xm:sqref>
        </x14:conditionalFormatting>
        <x14:conditionalFormatting xmlns:xm="http://schemas.microsoft.com/office/excel/2006/main">
          <x14:cfRule type="iconSet" priority="58" id="{9580497E-9B2A-4BA9-9793-17690A99F55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I8 L8 O8 R8 U8 X8 AA8 AD8 AG8 AJ8 AM8 AP8 AS8 AV8 AY8 BB8 BE8</xm:sqref>
        </x14:conditionalFormatting>
        <x14:conditionalFormatting xmlns:xm="http://schemas.microsoft.com/office/excel/2006/main">
          <x14:cfRule type="iconSet" priority="36" id="{87DD8982-B022-4745-99DE-ECEF94D4146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I18 L18 O18 R18 U18 X18 AA18 AD18 AG18 AJ18 AM18 AP18 AS18 AV18 AY18 BB18 BE18</xm:sqref>
        </x14:conditionalFormatting>
        <x14:conditionalFormatting xmlns:xm="http://schemas.microsoft.com/office/excel/2006/main">
          <x14:cfRule type="iconSet" priority="34" id="{88217487-AA64-4507-B07C-195185E37F6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I25 L25 O25 R25 U25 X25 AA25 AD25 AG25 AJ25 AM25 AP25 AS25 AV25 AY25 BB25 BE25</xm:sqref>
        </x14:conditionalFormatting>
        <x14:conditionalFormatting xmlns:xm="http://schemas.microsoft.com/office/excel/2006/main">
          <x14:cfRule type="iconSet" priority="56" id="{AD04A2B2-F02D-4A1A-B869-31E8AA701B6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I26:I30 I5:I7 I9:I17 I19:I24 I32:I33 I35:I40 I42 I44:I60 I62:I74</xm:sqref>
        </x14:conditionalFormatting>
        <x14:conditionalFormatting xmlns:xm="http://schemas.microsoft.com/office/excel/2006/main">
          <x14:cfRule type="iconSet" priority="29" id="{83F624D8-E84C-443C-BE6C-F94BB2B1158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I31 L31 O31 R31 U31 X31 AA31 AD31 AG31 AJ31 AM31 AP31 AS31 AV31 AY31 BB31 BE31</xm:sqref>
        </x14:conditionalFormatting>
        <x14:conditionalFormatting xmlns:xm="http://schemas.microsoft.com/office/excel/2006/main">
          <x14:cfRule type="iconSet" priority="26" id="{F05F85DD-1CAF-4D23-A70A-99F14070672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I34 L34 O34 R34 U34 X34 AA34 AD34 AG34 AJ34 AM34 AP34 AS34 AV34 AY34 BB34 BE34</xm:sqref>
        </x14:conditionalFormatting>
        <x14:conditionalFormatting xmlns:xm="http://schemas.microsoft.com/office/excel/2006/main">
          <x14:cfRule type="iconSet" priority="24" id="{03BF0BBC-214A-4AD2-9B52-7ACA81148C4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I41 L41 O41 R41 U41 X41 AA41 AD41 AG41 AJ41 AM41 AP41 AS41 AV41 AY41 BB41 BE41</xm:sqref>
        </x14:conditionalFormatting>
        <x14:conditionalFormatting xmlns:xm="http://schemas.microsoft.com/office/excel/2006/main">
          <x14:cfRule type="iconSet" priority="22" id="{70C593F7-C801-4D82-B353-CBE27EECF11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I43 L43 O43 R43 U43 X43 AA43 AD43 AG43 AJ43 AM43 AP43 AS43 AV43 AY43 BB43 BE43</xm:sqref>
        </x14:conditionalFormatting>
        <x14:conditionalFormatting xmlns:xm="http://schemas.microsoft.com/office/excel/2006/main">
          <x14:cfRule type="iconSet" priority="17" id="{C9251535-72AB-4AAA-8C45-1335194A749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I61</xm:sqref>
        </x14:conditionalFormatting>
        <x14:conditionalFormatting xmlns:xm="http://schemas.microsoft.com/office/excel/2006/main">
          <x14:cfRule type="iconSet" priority="21" id="{864973BE-44C7-413D-89CF-153A1F03C24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I75 L75 O75 R75 U75 X75 AA75 AD75 AG75 AJ75 AM75 AP75 AS75 AV75 AY75 BB75 BE75</xm:sqref>
        </x14:conditionalFormatting>
        <x14:conditionalFormatting xmlns:xm="http://schemas.microsoft.com/office/excel/2006/main">
          <x14:cfRule type="iconSet" priority="55" id="{6448B9B4-1A37-4162-9E18-8986AEC3870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L26:L30 L5:L7 L9:L17 L19:L24 L32:L33 L35:L40 L42 L44:L60 L62:L74</xm:sqref>
        </x14:conditionalFormatting>
        <x14:conditionalFormatting xmlns:xm="http://schemas.microsoft.com/office/excel/2006/main">
          <x14:cfRule type="iconSet" priority="16" id="{4DC2019F-ED11-4961-8B47-80B38E2C343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L61</xm:sqref>
        </x14:conditionalFormatting>
        <x14:conditionalFormatting xmlns:xm="http://schemas.microsoft.com/office/excel/2006/main">
          <x14:cfRule type="iconSet" priority="54" id="{E7C9DDF4-FA1B-4E1A-86AD-44B60BC2E10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O26:O30 O5:O7 O9:O17 O19:O24 O32:O33 O35:O40 O42 O44:O60 O62:O74</xm:sqref>
        </x14:conditionalFormatting>
        <x14:conditionalFormatting xmlns:xm="http://schemas.microsoft.com/office/excel/2006/main">
          <x14:cfRule type="iconSet" priority="15" id="{452F8AAB-4DB6-4C86-9258-11896EE2A81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O61</xm:sqref>
        </x14:conditionalFormatting>
        <x14:conditionalFormatting xmlns:xm="http://schemas.microsoft.com/office/excel/2006/main">
          <x14:cfRule type="iconSet" priority="53" id="{7F5F2D98-B5B2-43D1-AB33-5A0FBC4646B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R26:R30 R5:R7 R9:R17 R19:R24 R32:R33 R35:R40 R42 R44:R60 R62:R74</xm:sqref>
        </x14:conditionalFormatting>
        <x14:conditionalFormatting xmlns:xm="http://schemas.microsoft.com/office/excel/2006/main">
          <x14:cfRule type="iconSet" priority="14" id="{FE3B06C3-E8D1-4698-B368-4A1ACDBEEE6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R61</xm:sqref>
        </x14:conditionalFormatting>
        <x14:conditionalFormatting xmlns:xm="http://schemas.microsoft.com/office/excel/2006/main">
          <x14:cfRule type="iconSet" priority="52" id="{D0AF6529-3DD5-40C8-9C68-4D69FCE6CC5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U26:U30 U5:U7 U9:U17 U19:U24 U32:U33 U35:U40 U42 U44:U60 U62:U74</xm:sqref>
        </x14:conditionalFormatting>
        <x14:conditionalFormatting xmlns:xm="http://schemas.microsoft.com/office/excel/2006/main">
          <x14:cfRule type="iconSet" priority="13" id="{E4F87B6E-0198-4947-B3F0-AA6A4CA78AA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U61</xm:sqref>
        </x14:conditionalFormatting>
        <x14:conditionalFormatting xmlns:xm="http://schemas.microsoft.com/office/excel/2006/main">
          <x14:cfRule type="iconSet" priority="51" id="{47E0AB08-4262-4F08-AF01-5AC8015AC66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X26:X30 X5:X7 X9:X17 X19:X24 X32:X33 X35:X40 X42 X44:X60 X62:X74</xm:sqref>
        </x14:conditionalFormatting>
        <x14:conditionalFormatting xmlns:xm="http://schemas.microsoft.com/office/excel/2006/main">
          <x14:cfRule type="iconSet" priority="12" id="{DA0B921C-3A30-4DB4-BE3B-D83C035D555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X61</xm:sqref>
        </x14:conditionalFormatting>
        <x14:conditionalFormatting xmlns:xm="http://schemas.microsoft.com/office/excel/2006/main">
          <x14:cfRule type="iconSet" priority="50" id="{32218B22-B850-4A3F-AE44-B30605AAF6D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AA26:AA30 AA5:AA7 AA9:AA17 AA19:AA24 AA32:AA33 AA35:AA40 AA42 AA44:AA60 AA62:AA74</xm:sqref>
        </x14:conditionalFormatting>
        <x14:conditionalFormatting xmlns:xm="http://schemas.microsoft.com/office/excel/2006/main">
          <x14:cfRule type="iconSet" priority="11" id="{5A51860E-7807-46EB-8B83-C3A496D4422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AA61</xm:sqref>
        </x14:conditionalFormatting>
        <x14:conditionalFormatting xmlns:xm="http://schemas.microsoft.com/office/excel/2006/main">
          <x14:cfRule type="iconSet" priority="49" id="{EBB85F37-FD01-4195-BE10-9F7B0993123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AD26:AD30 AD5:AD7 AD9:AD17 AD19:AD24 AD32:AD33 AD35:AD40 AD42 AD44:AD60 AD62:AD74</xm:sqref>
        </x14:conditionalFormatting>
        <x14:conditionalFormatting xmlns:xm="http://schemas.microsoft.com/office/excel/2006/main">
          <x14:cfRule type="iconSet" priority="10" id="{0034CA53-6664-4584-8676-4A5DDA8CFCE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AD61</xm:sqref>
        </x14:conditionalFormatting>
        <x14:conditionalFormatting xmlns:xm="http://schemas.microsoft.com/office/excel/2006/main">
          <x14:cfRule type="iconSet" priority="48" id="{35CE509C-CA0E-4CD8-85FC-52727DFD93EB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AG26:AG30 AG5:AG7 AG9:AG17 AG19:AG24 AG32:AG33 AG35:AG40 AG42 AG44:AG60 AG62:AG74</xm:sqref>
        </x14:conditionalFormatting>
        <x14:conditionalFormatting xmlns:xm="http://schemas.microsoft.com/office/excel/2006/main">
          <x14:cfRule type="iconSet" priority="9" id="{A34A940A-3AC1-49BB-B3B1-08A69C3BD84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AG61</xm:sqref>
        </x14:conditionalFormatting>
        <x14:conditionalFormatting xmlns:xm="http://schemas.microsoft.com/office/excel/2006/main">
          <x14:cfRule type="iconSet" priority="47" id="{AF2F0A92-2E12-4B5F-8256-8B1ACF041FD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AJ26:AJ30 AJ5:AJ7 AJ9:AJ17 AJ19:AJ24 AJ32:AJ33 AJ35:AJ40 AJ42 AJ44:AJ60 AJ62:AJ74</xm:sqref>
        </x14:conditionalFormatting>
        <x14:conditionalFormatting xmlns:xm="http://schemas.microsoft.com/office/excel/2006/main">
          <x14:cfRule type="iconSet" priority="8" id="{FFFF16D2-4659-4594-8A12-589EC027516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AJ61</xm:sqref>
        </x14:conditionalFormatting>
        <x14:conditionalFormatting xmlns:xm="http://schemas.microsoft.com/office/excel/2006/main">
          <x14:cfRule type="iconSet" priority="46" id="{D5C25DF9-53F2-4166-9CEA-DE037E48438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AM26:AM30 AM5:AM7 AM9:AM17 AM19:AM24 AM32:AM33 AM35:AM40 AM42 AM44:AM60 AM62:AM74</xm:sqref>
        </x14:conditionalFormatting>
        <x14:conditionalFormatting xmlns:xm="http://schemas.microsoft.com/office/excel/2006/main">
          <x14:cfRule type="iconSet" priority="7" id="{C2C1096C-67CB-49EE-9E54-D9CDF4939C7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AM61</xm:sqref>
        </x14:conditionalFormatting>
        <x14:conditionalFormatting xmlns:xm="http://schemas.microsoft.com/office/excel/2006/main">
          <x14:cfRule type="iconSet" priority="45" id="{C4435539-BC40-4830-AF72-65BAAC9A7CA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AP26:AP30 AP5:AP7 AP9:AP17 AP19:AP24 AP32:AP33 AP35:AP40 AP42 AP44:AP60 AP62:AP74</xm:sqref>
        </x14:conditionalFormatting>
        <x14:conditionalFormatting xmlns:xm="http://schemas.microsoft.com/office/excel/2006/main">
          <x14:cfRule type="iconSet" priority="6" id="{E6CC8BFB-8DD4-47E2-AC71-45FE2D88DBD4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AP61</xm:sqref>
        </x14:conditionalFormatting>
        <x14:conditionalFormatting xmlns:xm="http://schemas.microsoft.com/office/excel/2006/main">
          <x14:cfRule type="iconSet" priority="44" id="{0D55B951-1975-4024-A1B7-4803E2639B3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AS26:AS30 AS5:AS7 AS9:AS17 AS19:AS24 AS32:AS33 AS35:AS40 AS42 AS44:AS60 AS62:AS74</xm:sqref>
        </x14:conditionalFormatting>
        <x14:conditionalFormatting xmlns:xm="http://schemas.microsoft.com/office/excel/2006/main">
          <x14:cfRule type="iconSet" priority="5" id="{4522132A-59A7-4DAB-9379-FFDEE366523C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AS61</xm:sqref>
        </x14:conditionalFormatting>
        <x14:conditionalFormatting xmlns:xm="http://schemas.microsoft.com/office/excel/2006/main">
          <x14:cfRule type="iconSet" priority="43" id="{6532BBA1-0813-4783-845E-4DFECA54693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AV26:AV30 AV5:AV7 AV9:AV17 AV19:AV24 AV32:AV33 AV35:AV40 AV42 AV44:AV60 AV62:AV74</xm:sqref>
        </x14:conditionalFormatting>
        <x14:conditionalFormatting xmlns:xm="http://schemas.microsoft.com/office/excel/2006/main">
          <x14:cfRule type="iconSet" priority="4" id="{EFC2535D-1611-40A3-92A2-7EB7E38D8BB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AV61</xm:sqref>
        </x14:conditionalFormatting>
        <x14:conditionalFormatting xmlns:xm="http://schemas.microsoft.com/office/excel/2006/main">
          <x14:cfRule type="iconSet" priority="42" id="{EF205377-F39F-401C-9AA1-70FA1E9B81B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AY26:AY30 AY5:AY7 AY9:AY17 AY19:AY24 AY32:AY33 AY35:AY40 AY42 AY44:AY60 AY62:AY74</xm:sqref>
        </x14:conditionalFormatting>
        <x14:conditionalFormatting xmlns:xm="http://schemas.microsoft.com/office/excel/2006/main">
          <x14:cfRule type="iconSet" priority="3" id="{519BD321-93DF-4D85-90BA-73F9322A8DB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AY61</xm:sqref>
        </x14:conditionalFormatting>
        <x14:conditionalFormatting xmlns:xm="http://schemas.microsoft.com/office/excel/2006/main">
          <x14:cfRule type="iconSet" priority="41" id="{7182CBDD-C4A5-4C30-BBC6-D46C35A361E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BB26:BB30 BB5:BB7 BB9:BB17 BB19:BB24 BB32:BB33 BB35:BB40 BB42 BB44:BB60 BB62:BB74</xm:sqref>
        </x14:conditionalFormatting>
        <x14:conditionalFormatting xmlns:xm="http://schemas.microsoft.com/office/excel/2006/main">
          <x14:cfRule type="iconSet" priority="2" id="{45BF3845-C43F-46F7-A9C1-9D2EF265CEC5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BB61</xm:sqref>
        </x14:conditionalFormatting>
        <x14:conditionalFormatting xmlns:xm="http://schemas.microsoft.com/office/excel/2006/main">
          <x14:cfRule type="iconSet" priority="75" id="{1C01C408-B333-4E31-B476-B1799D81BC7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BE26:BE30 BE5:BE7 BE9:BE17 BE19:BE24 BE32:BE33 BE35:BE40 BE42 BE44:BE60 BE62:BE74</xm:sqref>
        </x14:conditionalFormatting>
        <x14:conditionalFormatting xmlns:xm="http://schemas.microsoft.com/office/excel/2006/main">
          <x14:cfRule type="iconSet" priority="1" id="{5A9E13D8-3595-436E-A912-4BCC7F38DFDF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BE61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May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Amaya Caldera</dc:creator>
  <cp:lastModifiedBy>Vihanga Ranaweera</cp:lastModifiedBy>
  <dcterms:created xsi:type="dcterms:W3CDTF">2025-06-13T05:45:57Z</dcterms:created>
  <dcterms:modified xsi:type="dcterms:W3CDTF">2026-01-05T09:43:47Z</dcterms:modified>
</cp:coreProperties>
</file>